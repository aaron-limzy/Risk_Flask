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isk\Desktop\Swap Stuff\"/>
    </mc:Choice>
  </mc:AlternateContent>
  <bookViews>
    <workbookView xWindow="0" yWindow="0" windowWidth="28800" windowHeight="11730" firstSheet="9" activeTab="11"/>
  </bookViews>
  <sheets>
    <sheet name="retail" sheetId="8" r:id="rId1"/>
    <sheet name="ALL" sheetId="32" r:id="rId2"/>
    <sheet name="MT5_Fixed" sheetId="33" r:id="rId3"/>
    <sheet name="insti" sheetId="9" r:id="rId4"/>
    <sheet name="Processed_Data" sheetId="14" r:id="rId5"/>
    <sheet name="Insti_Fixed" sheetId="12" r:id="rId6"/>
    <sheet name="Raw_Data" sheetId="5" r:id="rId7"/>
    <sheet name="Conversion" sheetId="17" r:id="rId8"/>
    <sheet name="BGI_Core_Symbol" sheetId="13" r:id="rId9"/>
    <sheet name="BGI_Per_Lot" sheetId="18" r:id="rId10"/>
    <sheet name="Moving_Averge_30052018" sheetId="19" state="hidden" r:id="rId11"/>
    <sheet name="MT4_Forced_Swaps" sheetId="23" r:id="rId12"/>
    <sheet name="Bloomberg_Dividend" sheetId="35" r:id="rId13"/>
    <sheet name="Moving_Average_Compare" sheetId="20" r:id="rId14"/>
    <sheet name="TopFX_Swaps" sheetId="29" r:id="rId15"/>
    <sheet name="FXdd_Swaps" sheetId="26" r:id="rId16"/>
    <sheet name="FXpro_Swaps" sheetId="27" r:id="rId17"/>
    <sheet name="Info" sheetId="28" r:id="rId18"/>
    <sheet name="Control" sheetId="30" r:id="rId19"/>
    <sheet name="Working" sheetId="34" r:id="rId20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34" l="1"/>
  <c r="E4" i="34"/>
  <c r="F4" i="34"/>
  <c r="G4" i="34"/>
  <c r="D5" i="34"/>
  <c r="E5" i="34"/>
  <c r="F5" i="34"/>
  <c r="G5" i="34"/>
  <c r="D6" i="34"/>
  <c r="E6" i="34"/>
  <c r="F6" i="34"/>
  <c r="G6" i="34"/>
  <c r="D7" i="34"/>
  <c r="E7" i="34"/>
  <c r="F7" i="34"/>
  <c r="G7" i="34"/>
  <c r="D8" i="34"/>
  <c r="E8" i="34"/>
  <c r="F8" i="34"/>
  <c r="G8" i="34"/>
  <c r="D9" i="34"/>
  <c r="E9" i="34"/>
  <c r="F9" i="34"/>
  <c r="G9" i="34"/>
  <c r="D10" i="34"/>
  <c r="E10" i="34"/>
  <c r="F10" i="34"/>
  <c r="G10" i="34"/>
  <c r="D11" i="34"/>
  <c r="E11" i="34"/>
  <c r="F11" i="34"/>
  <c r="G11" i="34"/>
  <c r="D12" i="34"/>
  <c r="E12" i="34"/>
  <c r="F12" i="34"/>
  <c r="G12" i="34"/>
  <c r="D13" i="34"/>
  <c r="E13" i="34"/>
  <c r="F13" i="34"/>
  <c r="G13" i="34"/>
  <c r="D14" i="34"/>
  <c r="E14" i="34"/>
  <c r="F14" i="34"/>
  <c r="G14" i="34"/>
  <c r="D15" i="34"/>
  <c r="E15" i="34"/>
  <c r="F15" i="34"/>
  <c r="G15" i="34"/>
  <c r="D16" i="34"/>
  <c r="E16" i="34"/>
  <c r="F16" i="34"/>
  <c r="G16" i="34"/>
  <c r="D17" i="34"/>
  <c r="E17" i="34"/>
  <c r="F17" i="34"/>
  <c r="G17" i="34"/>
  <c r="D18" i="34"/>
  <c r="E18" i="34"/>
  <c r="F18" i="34"/>
  <c r="G18" i="34"/>
  <c r="D19" i="34"/>
  <c r="E19" i="34"/>
  <c r="F19" i="34"/>
  <c r="G19" i="34"/>
  <c r="D20" i="34"/>
  <c r="E20" i="34"/>
  <c r="F20" i="34"/>
  <c r="G20" i="34"/>
  <c r="D21" i="34"/>
  <c r="E21" i="34"/>
  <c r="F21" i="34"/>
  <c r="G21" i="34"/>
  <c r="D22" i="34"/>
  <c r="E22" i="34"/>
  <c r="F22" i="34"/>
  <c r="G22" i="34"/>
  <c r="D23" i="34"/>
  <c r="E23" i="34"/>
  <c r="F23" i="34"/>
  <c r="G23" i="34"/>
  <c r="D24" i="34"/>
  <c r="E24" i="34"/>
  <c r="F24" i="34"/>
  <c r="G24" i="34"/>
  <c r="D25" i="34"/>
  <c r="E25" i="34"/>
  <c r="F25" i="34"/>
  <c r="G25" i="34"/>
  <c r="D26" i="34"/>
  <c r="E26" i="34"/>
  <c r="F26" i="34"/>
  <c r="G26" i="34"/>
  <c r="D27" i="34"/>
  <c r="E27" i="34"/>
  <c r="F27" i="34"/>
  <c r="G27" i="34"/>
  <c r="D28" i="34"/>
  <c r="E28" i="34"/>
  <c r="F28" i="34"/>
  <c r="G28" i="34"/>
  <c r="D29" i="34"/>
  <c r="E29" i="34"/>
  <c r="F29" i="34"/>
  <c r="G29" i="34"/>
  <c r="D30" i="34"/>
  <c r="E30" i="34"/>
  <c r="F30" i="34"/>
  <c r="G30" i="34"/>
  <c r="D31" i="34"/>
  <c r="E31" i="34"/>
  <c r="F31" i="34"/>
  <c r="G31" i="34"/>
  <c r="D32" i="34"/>
  <c r="E32" i="34"/>
  <c r="F32" i="34"/>
  <c r="G32" i="34"/>
  <c r="D33" i="34"/>
  <c r="E33" i="34"/>
  <c r="F33" i="34"/>
  <c r="G33" i="34"/>
  <c r="D34" i="34"/>
  <c r="E34" i="34"/>
  <c r="F34" i="34"/>
  <c r="G34" i="34"/>
  <c r="D35" i="34"/>
  <c r="E35" i="34"/>
  <c r="F35" i="34"/>
  <c r="G35" i="34"/>
  <c r="D36" i="34"/>
  <c r="E36" i="34"/>
  <c r="F36" i="34"/>
  <c r="G36" i="34"/>
  <c r="D37" i="34"/>
  <c r="E37" i="34"/>
  <c r="F37" i="34"/>
  <c r="G37" i="34"/>
  <c r="D38" i="34"/>
  <c r="E38" i="34"/>
  <c r="F38" i="34"/>
  <c r="G38" i="34"/>
  <c r="D39" i="34"/>
  <c r="E39" i="34"/>
  <c r="F39" i="34"/>
  <c r="G39" i="34"/>
  <c r="D40" i="34"/>
  <c r="E40" i="34"/>
  <c r="F40" i="34"/>
  <c r="G40" i="34"/>
  <c r="D41" i="34"/>
  <c r="E41" i="34"/>
  <c r="F41" i="34"/>
  <c r="G41" i="34"/>
  <c r="D42" i="34"/>
  <c r="E42" i="34"/>
  <c r="F42" i="34"/>
  <c r="G42" i="34"/>
  <c r="D43" i="34"/>
  <c r="E43" i="34"/>
  <c r="F43" i="34"/>
  <c r="G43" i="34"/>
  <c r="D44" i="34"/>
  <c r="E44" i="34"/>
  <c r="F44" i="34"/>
  <c r="G44" i="34"/>
  <c r="D45" i="34"/>
  <c r="E45" i="34"/>
  <c r="F45" i="34"/>
  <c r="G45" i="34"/>
  <c r="D46" i="34"/>
  <c r="E46" i="34"/>
  <c r="F46" i="34"/>
  <c r="G46" i="34"/>
  <c r="D47" i="34"/>
  <c r="E47" i="34"/>
  <c r="F47" i="34"/>
  <c r="G47" i="34"/>
  <c r="D48" i="34"/>
  <c r="E48" i="34"/>
  <c r="F48" i="34"/>
  <c r="G48" i="34"/>
  <c r="D49" i="34"/>
  <c r="E49" i="34"/>
  <c r="F49" i="34"/>
  <c r="G49" i="34"/>
  <c r="D50" i="34"/>
  <c r="E50" i="34"/>
  <c r="F50" i="34"/>
  <c r="G50" i="34"/>
  <c r="D51" i="34"/>
  <c r="E51" i="34"/>
  <c r="F51" i="34"/>
  <c r="G51" i="34"/>
  <c r="D52" i="34"/>
  <c r="E52" i="34"/>
  <c r="F52" i="34"/>
  <c r="G52" i="34"/>
  <c r="D53" i="34"/>
  <c r="E53" i="34"/>
  <c r="F53" i="34"/>
  <c r="G53" i="34"/>
  <c r="D54" i="34"/>
  <c r="E54" i="34"/>
  <c r="F54" i="34"/>
  <c r="G54" i="34"/>
  <c r="D55" i="34"/>
  <c r="E55" i="34"/>
  <c r="F55" i="34"/>
  <c r="G55" i="34"/>
  <c r="D56" i="34"/>
  <c r="E56" i="34"/>
  <c r="F56" i="34"/>
  <c r="G56" i="34"/>
  <c r="D57" i="34"/>
  <c r="E57" i="34"/>
  <c r="F57" i="34"/>
  <c r="G57" i="34"/>
  <c r="D58" i="34"/>
  <c r="E58" i="34"/>
  <c r="F58" i="34"/>
  <c r="G58" i="34"/>
  <c r="D59" i="34"/>
  <c r="E59" i="34"/>
  <c r="F59" i="34"/>
  <c r="G59" i="34"/>
  <c r="D60" i="34"/>
  <c r="E60" i="34"/>
  <c r="F60" i="34"/>
  <c r="G60" i="34"/>
  <c r="D61" i="34"/>
  <c r="E61" i="34"/>
  <c r="F61" i="34"/>
  <c r="G61" i="34"/>
  <c r="D62" i="34"/>
  <c r="E62" i="34"/>
  <c r="F62" i="34"/>
  <c r="G62" i="34"/>
  <c r="D63" i="34"/>
  <c r="E63" i="34"/>
  <c r="F63" i="34"/>
  <c r="G63" i="34"/>
  <c r="D64" i="34"/>
  <c r="E64" i="34"/>
  <c r="F64" i="34"/>
  <c r="G64" i="34"/>
  <c r="D65" i="34"/>
  <c r="E65" i="34"/>
  <c r="F65" i="34"/>
  <c r="G65" i="34"/>
  <c r="D66" i="34"/>
  <c r="E66" i="34"/>
  <c r="F66" i="34"/>
  <c r="G66" i="34"/>
  <c r="D67" i="34"/>
  <c r="E67" i="34"/>
  <c r="F67" i="34"/>
  <c r="G67" i="34"/>
  <c r="D68" i="34"/>
  <c r="E68" i="34"/>
  <c r="F68" i="34"/>
  <c r="G68" i="34"/>
  <c r="D69" i="34"/>
  <c r="E69" i="34"/>
  <c r="F69" i="34"/>
  <c r="G69" i="34"/>
  <c r="D70" i="34"/>
  <c r="E70" i="34"/>
  <c r="F70" i="34"/>
  <c r="G70" i="34"/>
  <c r="D71" i="34"/>
  <c r="E71" i="34"/>
  <c r="F71" i="34"/>
  <c r="G71" i="34"/>
  <c r="D72" i="34"/>
  <c r="E72" i="34"/>
  <c r="F72" i="34"/>
  <c r="G72" i="34"/>
  <c r="D73" i="34"/>
  <c r="E73" i="34"/>
  <c r="F73" i="34"/>
  <c r="G73" i="34"/>
  <c r="D74" i="34"/>
  <c r="E74" i="34"/>
  <c r="F74" i="34"/>
  <c r="G74" i="34"/>
  <c r="D75" i="34"/>
  <c r="E75" i="34"/>
  <c r="F75" i="34"/>
  <c r="G75" i="34"/>
  <c r="D76" i="34"/>
  <c r="E76" i="34"/>
  <c r="F76" i="34"/>
  <c r="G76" i="34"/>
  <c r="D77" i="34"/>
  <c r="E77" i="34"/>
  <c r="F77" i="34"/>
  <c r="G77" i="34"/>
  <c r="D78" i="34"/>
  <c r="E78" i="34"/>
  <c r="F78" i="34"/>
  <c r="G78" i="34"/>
  <c r="D79" i="34"/>
  <c r="E79" i="34"/>
  <c r="F79" i="34"/>
  <c r="G79" i="34"/>
  <c r="D80" i="34"/>
  <c r="E80" i="34"/>
  <c r="F80" i="34"/>
  <c r="G80" i="34"/>
  <c r="D81" i="34"/>
  <c r="E81" i="34"/>
  <c r="F81" i="34"/>
  <c r="G81" i="34"/>
  <c r="D82" i="34"/>
  <c r="E82" i="34"/>
  <c r="F82" i="34"/>
  <c r="G82" i="34"/>
  <c r="D83" i="34"/>
  <c r="E83" i="34"/>
  <c r="F83" i="34"/>
  <c r="G83" i="34"/>
  <c r="D84" i="34"/>
  <c r="E84" i="34"/>
  <c r="F84" i="34"/>
  <c r="G84" i="34"/>
  <c r="D85" i="34"/>
  <c r="E85" i="34"/>
  <c r="F85" i="34"/>
  <c r="G85" i="34"/>
  <c r="D86" i="34"/>
  <c r="E86" i="34"/>
  <c r="F86" i="34"/>
  <c r="G86" i="34"/>
  <c r="D87" i="34"/>
  <c r="E87" i="34"/>
  <c r="F87" i="34"/>
  <c r="G87" i="34"/>
  <c r="D88" i="34"/>
  <c r="E88" i="34"/>
  <c r="F88" i="34"/>
  <c r="G88" i="34"/>
  <c r="D89" i="34"/>
  <c r="E89" i="34"/>
  <c r="F89" i="34"/>
  <c r="G89" i="34"/>
  <c r="D90" i="34"/>
  <c r="E90" i="34"/>
  <c r="F90" i="34"/>
  <c r="G90" i="34"/>
  <c r="D91" i="34"/>
  <c r="E91" i="34"/>
  <c r="F91" i="34"/>
  <c r="G91" i="34"/>
  <c r="D92" i="34"/>
  <c r="E92" i="34"/>
  <c r="F92" i="34"/>
  <c r="G92" i="34"/>
  <c r="D93" i="34"/>
  <c r="E93" i="34"/>
  <c r="F93" i="34"/>
  <c r="G93" i="34"/>
  <c r="D94" i="34"/>
  <c r="E94" i="34"/>
  <c r="F94" i="34"/>
  <c r="G94" i="34"/>
  <c r="D95" i="34"/>
  <c r="E95" i="34"/>
  <c r="F95" i="34"/>
  <c r="G95" i="34"/>
  <c r="D96" i="34"/>
  <c r="E96" i="34"/>
  <c r="F96" i="34"/>
  <c r="G96" i="34"/>
  <c r="D97" i="34"/>
  <c r="E97" i="34"/>
  <c r="F97" i="34"/>
  <c r="G97" i="34"/>
  <c r="D98" i="34"/>
  <c r="E98" i="34"/>
  <c r="F98" i="34"/>
  <c r="G98" i="34"/>
  <c r="D99" i="34"/>
  <c r="E99" i="34"/>
  <c r="F99" i="34"/>
  <c r="G99" i="34"/>
  <c r="D100" i="34"/>
  <c r="E100" i="34"/>
  <c r="F100" i="34"/>
  <c r="G100" i="34"/>
  <c r="D101" i="34"/>
  <c r="E101" i="34"/>
  <c r="F101" i="34"/>
  <c r="G101" i="34"/>
  <c r="D102" i="34"/>
  <c r="E102" i="34"/>
  <c r="F102" i="34"/>
  <c r="G102" i="34"/>
  <c r="D103" i="34"/>
  <c r="E103" i="34"/>
  <c r="F103" i="34"/>
  <c r="G103" i="34"/>
  <c r="D104" i="34"/>
  <c r="E104" i="34"/>
  <c r="F104" i="34"/>
  <c r="G104" i="34"/>
  <c r="D105" i="34"/>
  <c r="E105" i="34"/>
  <c r="F105" i="34"/>
  <c r="G105" i="34"/>
  <c r="D106" i="34"/>
  <c r="E106" i="34"/>
  <c r="F106" i="34"/>
  <c r="G106" i="34"/>
  <c r="D107" i="34"/>
  <c r="E107" i="34"/>
  <c r="F107" i="34"/>
  <c r="G107" i="34"/>
  <c r="D108" i="34"/>
  <c r="E108" i="34"/>
  <c r="F108" i="34"/>
  <c r="G108" i="34"/>
  <c r="D109" i="34"/>
  <c r="E109" i="34"/>
  <c r="F109" i="34"/>
  <c r="G109" i="34"/>
  <c r="G3" i="34"/>
  <c r="F3" i="34"/>
  <c r="E3" i="34"/>
  <c r="D3" i="34"/>
  <c r="I16" i="34" l="1"/>
  <c r="I11" i="34"/>
  <c r="I106" i="34"/>
  <c r="I98" i="34"/>
  <c r="I88" i="34"/>
  <c r="I74" i="34"/>
  <c r="I66" i="34"/>
  <c r="I46" i="34"/>
  <c r="I38" i="34"/>
  <c r="I30" i="34"/>
  <c r="H108" i="34"/>
  <c r="H104" i="34"/>
  <c r="H100" i="34"/>
  <c r="H99" i="34"/>
  <c r="H98" i="34"/>
  <c r="H92" i="34"/>
  <c r="H90" i="34"/>
  <c r="H89" i="34"/>
  <c r="H88" i="34"/>
  <c r="H82" i="34"/>
  <c r="H80" i="34"/>
  <c r="H77" i="34"/>
  <c r="H76" i="34"/>
  <c r="H73" i="34"/>
  <c r="H69" i="34"/>
  <c r="H68" i="34"/>
  <c r="H67" i="34"/>
  <c r="H61" i="34"/>
  <c r="H59" i="34"/>
  <c r="H58" i="34"/>
  <c r="H57" i="34"/>
  <c r="H52" i="34"/>
  <c r="H48" i="34"/>
  <c r="H47" i="34"/>
  <c r="H44" i="34"/>
  <c r="H40" i="34"/>
  <c r="H39" i="34"/>
  <c r="H34" i="34"/>
  <c r="H32" i="34"/>
  <c r="H31" i="34"/>
  <c r="H30" i="34"/>
  <c r="H24" i="34"/>
  <c r="H22" i="34"/>
  <c r="H18" i="34"/>
  <c r="H17" i="34"/>
  <c r="H14" i="34"/>
  <c r="H12" i="34"/>
  <c r="H10" i="34"/>
  <c r="H6" i="34"/>
  <c r="H4" i="34"/>
  <c r="H102" i="34"/>
  <c r="I47" i="34"/>
  <c r="I45" i="34"/>
  <c r="I43" i="34"/>
  <c r="I41" i="34"/>
  <c r="H50" i="34"/>
  <c r="H46" i="34"/>
  <c r="H106" i="34"/>
  <c r="I103" i="34"/>
  <c r="I101" i="34"/>
  <c r="I99" i="34"/>
  <c r="H78" i="34"/>
  <c r="I77" i="34"/>
  <c r="I75" i="34"/>
  <c r="I73" i="34"/>
  <c r="I71" i="34"/>
  <c r="H20" i="34"/>
  <c r="I17" i="34"/>
  <c r="I15" i="34"/>
  <c r="I13" i="34"/>
  <c r="H75" i="34"/>
  <c r="H16" i="34"/>
  <c r="I89" i="34"/>
  <c r="I87" i="34"/>
  <c r="I85" i="34"/>
  <c r="I83" i="34"/>
  <c r="H65" i="34"/>
  <c r="H63" i="34"/>
  <c r="I61" i="34"/>
  <c r="I59" i="34"/>
  <c r="I31" i="34"/>
  <c r="I29" i="34"/>
  <c r="I27" i="34"/>
  <c r="I25" i="34"/>
  <c r="I9" i="34"/>
  <c r="I7" i="34"/>
  <c r="I5" i="34"/>
  <c r="H8" i="34"/>
  <c r="I109" i="34"/>
  <c r="I97" i="34"/>
  <c r="I95" i="34"/>
  <c r="I93" i="34"/>
  <c r="H86" i="34"/>
  <c r="H84" i="34"/>
  <c r="I81" i="34"/>
  <c r="H71" i="34"/>
  <c r="I69" i="34"/>
  <c r="I57" i="34"/>
  <c r="I55" i="34"/>
  <c r="I53" i="34"/>
  <c r="H42" i="34"/>
  <c r="I39" i="34"/>
  <c r="I37" i="34"/>
  <c r="I35" i="34"/>
  <c r="H28" i="34"/>
  <c r="H26" i="34"/>
  <c r="I23" i="34"/>
  <c r="I107" i="34"/>
  <c r="I105" i="34"/>
  <c r="H96" i="34"/>
  <c r="H94" i="34"/>
  <c r="I91" i="34"/>
  <c r="I79" i="34"/>
  <c r="I67" i="34"/>
  <c r="I65" i="34"/>
  <c r="I63" i="34"/>
  <c r="H56" i="34"/>
  <c r="H54" i="34"/>
  <c r="I51" i="34"/>
  <c r="I49" i="34"/>
  <c r="H38" i="34"/>
  <c r="H36" i="34"/>
  <c r="I33" i="34"/>
  <c r="I21" i="34"/>
  <c r="I19" i="34"/>
  <c r="H3" i="34"/>
  <c r="H107" i="34"/>
  <c r="H97" i="34"/>
  <c r="I96" i="34"/>
  <c r="H66" i="34"/>
  <c r="I64" i="34"/>
  <c r="I3" i="34"/>
  <c r="H105" i="34"/>
  <c r="I104" i="34"/>
  <c r="H83" i="34"/>
  <c r="I82" i="34"/>
  <c r="H74" i="34"/>
  <c r="I72" i="34"/>
  <c r="H53" i="34"/>
  <c r="I52" i="34"/>
  <c r="H45" i="34"/>
  <c r="I44" i="34"/>
  <c r="H25" i="34"/>
  <c r="I24" i="34"/>
  <c r="H15" i="34"/>
  <c r="I14" i="34"/>
  <c r="H11" i="34"/>
  <c r="I10" i="34"/>
  <c r="H91" i="34"/>
  <c r="I90" i="34"/>
  <c r="H81" i="34"/>
  <c r="I80" i="34"/>
  <c r="H60" i="34"/>
  <c r="I58" i="34"/>
  <c r="H33" i="34"/>
  <c r="I32" i="34"/>
  <c r="H23" i="34"/>
  <c r="I22" i="34"/>
  <c r="H5" i="34"/>
  <c r="I4" i="34"/>
  <c r="H103" i="34"/>
  <c r="I102" i="34"/>
  <c r="H95" i="34"/>
  <c r="I94" i="34"/>
  <c r="H87" i="34"/>
  <c r="I86" i="34"/>
  <c r="H79" i="34"/>
  <c r="I78" i="34"/>
  <c r="H72" i="34"/>
  <c r="I70" i="34"/>
  <c r="H64" i="34"/>
  <c r="I62" i="34"/>
  <c r="I56" i="34"/>
  <c r="H51" i="34"/>
  <c r="I50" i="34"/>
  <c r="H43" i="34"/>
  <c r="I42" i="34"/>
  <c r="H37" i="34"/>
  <c r="I36" i="34"/>
  <c r="H29" i="34"/>
  <c r="I28" i="34"/>
  <c r="H21" i="34"/>
  <c r="I20" i="34"/>
  <c r="H9" i="34"/>
  <c r="I8" i="34"/>
  <c r="H109" i="34"/>
  <c r="I108" i="34"/>
  <c r="H101" i="34"/>
  <c r="I100" i="34"/>
  <c r="H93" i="34"/>
  <c r="I92" i="34"/>
  <c r="H85" i="34"/>
  <c r="I84" i="34"/>
  <c r="I76" i="34"/>
  <c r="H70" i="34"/>
  <c r="I68" i="34"/>
  <c r="H62" i="34"/>
  <c r="I60" i="34"/>
  <c r="H55" i="34"/>
  <c r="I54" i="34"/>
  <c r="H49" i="34"/>
  <c r="I48" i="34"/>
  <c r="H41" i="34"/>
  <c r="I40" i="34"/>
  <c r="H35" i="34"/>
  <c r="I34" i="34"/>
  <c r="H27" i="34"/>
  <c r="I26" i="34"/>
  <c r="H19" i="34"/>
  <c r="I18" i="34"/>
  <c r="H13" i="34"/>
  <c r="I12" i="34"/>
  <c r="H7" i="34"/>
  <c r="I6" i="34"/>
  <c r="D95" i="19"/>
  <c r="D96" i="19"/>
  <c r="D97" i="19"/>
  <c r="D98" i="19"/>
  <c r="D99" i="19"/>
  <c r="D100" i="19"/>
  <c r="D101" i="19"/>
  <c r="D102" i="19"/>
  <c r="D103" i="19"/>
  <c r="D104" i="19"/>
  <c r="D105" i="19"/>
  <c r="D106" i="19"/>
  <c r="D107" i="19"/>
  <c r="D108" i="19"/>
  <c r="D109" i="19"/>
  <c r="D94" i="19" l="1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8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D24" i="19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D9" i="19"/>
  <c r="D8" i="19"/>
  <c r="D7" i="19"/>
  <c r="D6" i="19"/>
  <c r="D5" i="19"/>
  <c r="D4" i="19"/>
  <c r="D3" i="19"/>
  <c r="D2" i="19"/>
  <c r="B20" i="17" l="1"/>
  <c r="B3" i="17"/>
</calcChain>
</file>

<file path=xl/sharedStrings.xml><?xml version="1.0" encoding="utf-8"?>
<sst xmlns="http://schemas.openxmlformats.org/spreadsheetml/2006/main" count="3161" uniqueCount="474">
  <si>
    <t>Core Symbol</t>
  </si>
  <si>
    <t>MXN/JPY</t>
  </si>
  <si>
    <t>HKD/JPY</t>
  </si>
  <si>
    <t>NOK/JPY</t>
  </si>
  <si>
    <t>GBP/SEK</t>
  </si>
  <si>
    <t>SEK/JPY</t>
  </si>
  <si>
    <t>NOK/SEK</t>
  </si>
  <si>
    <t>EUR/DKK</t>
  </si>
  <si>
    <t>EUR/SEK</t>
  </si>
  <si>
    <t>CAD/SGD</t>
  </si>
  <si>
    <t>GBP/NOK</t>
  </si>
  <si>
    <t>EUR/PLN</t>
  </si>
  <si>
    <t>EUR/NOK</t>
  </si>
  <si>
    <t>GBP/HKD</t>
  </si>
  <si>
    <t>EUR/HKD</t>
  </si>
  <si>
    <t>EUR/TRY</t>
  </si>
  <si>
    <t>USD/MXN</t>
  </si>
  <si>
    <t>USD/TRY</t>
  </si>
  <si>
    <t>EUR/MXN</t>
  </si>
  <si>
    <t>USD/RUB</t>
  </si>
  <si>
    <t>USD/DKK</t>
  </si>
  <si>
    <t>USD/HKD</t>
  </si>
  <si>
    <t>USD/HUF</t>
  </si>
  <si>
    <t>USD/PLN</t>
  </si>
  <si>
    <t>USD/ZAR</t>
  </si>
  <si>
    <t>USD/SEK</t>
  </si>
  <si>
    <t>EUR/GBP</t>
  </si>
  <si>
    <t>USD/CNH</t>
  </si>
  <si>
    <t>USD/CHF</t>
  </si>
  <si>
    <t>USD/SGD</t>
  </si>
  <si>
    <t>EUR/JPY</t>
  </si>
  <si>
    <t>EUR/USD</t>
  </si>
  <si>
    <t>EUR/NZD</t>
  </si>
  <si>
    <t>USD/NOK</t>
  </si>
  <si>
    <t>EUR/SGD</t>
  </si>
  <si>
    <t>USD/CAD</t>
  </si>
  <si>
    <t>USD/JPY</t>
  </si>
  <si>
    <t>GBP/USD</t>
  </si>
  <si>
    <t>GBP/AUD</t>
  </si>
  <si>
    <t>GBP/CAD</t>
  </si>
  <si>
    <t>GBP/CHF</t>
  </si>
  <si>
    <t>GBP/SGD</t>
  </si>
  <si>
    <t>GBP/NZD</t>
  </si>
  <si>
    <t>GBP/JPY</t>
  </si>
  <si>
    <t>CHF/JPY</t>
  </si>
  <si>
    <t>AUD/NZD</t>
  </si>
  <si>
    <t>AUD/SGD</t>
  </si>
  <si>
    <t>AUD/CAD</t>
  </si>
  <si>
    <t>CAD/JPY</t>
  </si>
  <si>
    <t>EUR/AUD</t>
  </si>
  <si>
    <t>EUR/CHF</t>
  </si>
  <si>
    <t>AUD/JPY</t>
  </si>
  <si>
    <t>CAD/CHF</t>
  </si>
  <si>
    <t>AUD/CHF</t>
  </si>
  <si>
    <t>EUR/CAD</t>
  </si>
  <si>
    <t>NZD/SGD</t>
  </si>
  <si>
    <t>NZD/USD</t>
  </si>
  <si>
    <t>AUD/USD</t>
  </si>
  <si>
    <t>NZD/CAD</t>
  </si>
  <si>
    <t>NZD/CHF</t>
  </si>
  <si>
    <t>NZD/JPY</t>
  </si>
  <si>
    <t>SGD/JPY</t>
  </si>
  <si>
    <t>XAU/USD</t>
  </si>
  <si>
    <t>XAG/USD</t>
  </si>
  <si>
    <t>XPT/USD</t>
  </si>
  <si>
    <t>XPD/USD</t>
  </si>
  <si>
    <t>CHINA50</t>
  </si>
  <si>
    <t>DAX30</t>
  </si>
  <si>
    <t>NAS100</t>
  </si>
  <si>
    <t>Nikkei225</t>
  </si>
  <si>
    <t>HSI</t>
  </si>
  <si>
    <t>SPI200</t>
  </si>
  <si>
    <t>FTSE100</t>
  </si>
  <si>
    <t>EU50</t>
  </si>
  <si>
    <t>SP500</t>
  </si>
  <si>
    <t>DJ30</t>
  </si>
  <si>
    <t>FRA40</t>
  </si>
  <si>
    <t>ES35</t>
  </si>
  <si>
    <t>BTCUSD</t>
  </si>
  <si>
    <t>UKOUSD</t>
  </si>
  <si>
    <t>USOUSD</t>
  </si>
  <si>
    <t>Long Points</t>
  </si>
  <si>
    <t>Short Points</t>
  </si>
  <si>
    <t>.A50</t>
  </si>
  <si>
    <t>.AUS200</t>
  </si>
  <si>
    <t>.DE30</t>
  </si>
  <si>
    <t>.ES35</t>
  </si>
  <si>
    <t>.F40</t>
  </si>
  <si>
    <t>.HK50</t>
  </si>
  <si>
    <t>.JP225</t>
  </si>
  <si>
    <t>.STOXX50</t>
  </si>
  <si>
    <t>.UK100</t>
  </si>
  <si>
    <t>.UKOil</t>
  </si>
  <si>
    <t>.US100</t>
  </si>
  <si>
    <t>.US30</t>
  </si>
  <si>
    <t>.US500</t>
  </si>
  <si>
    <t>.USOil</t>
  </si>
  <si>
    <t>MXNJPY</t>
  </si>
  <si>
    <t>HKDJPY</t>
  </si>
  <si>
    <t>NOKJPY</t>
  </si>
  <si>
    <t>GBPSEK</t>
  </si>
  <si>
    <t>SEKJPY</t>
  </si>
  <si>
    <t>NOKSEK</t>
  </si>
  <si>
    <t>EURDKK</t>
  </si>
  <si>
    <t>EURSEK</t>
  </si>
  <si>
    <t>CADSGD</t>
  </si>
  <si>
    <t>GBPNOK</t>
  </si>
  <si>
    <t>EURPLN</t>
  </si>
  <si>
    <t>EURNOK</t>
  </si>
  <si>
    <t>GBPHKD</t>
  </si>
  <si>
    <t>EURHKD</t>
  </si>
  <si>
    <t>EURTRY</t>
  </si>
  <si>
    <t>USDMXN</t>
  </si>
  <si>
    <t>USDTRY</t>
  </si>
  <si>
    <t>EURMXN</t>
  </si>
  <si>
    <t>USDRUB</t>
  </si>
  <si>
    <t>USDDKK</t>
  </si>
  <si>
    <t>USDHKD</t>
  </si>
  <si>
    <t>USDHUF</t>
  </si>
  <si>
    <t>USDPLN</t>
  </si>
  <si>
    <t>USDZAR</t>
  </si>
  <si>
    <t>USDSEK</t>
  </si>
  <si>
    <t>EURGBP</t>
  </si>
  <si>
    <t>USDCNH</t>
  </si>
  <si>
    <t>USDCHF</t>
  </si>
  <si>
    <t>USDSGD</t>
  </si>
  <si>
    <t>EURJPY</t>
  </si>
  <si>
    <t>EURUSD</t>
  </si>
  <si>
    <t>EURNZD</t>
  </si>
  <si>
    <t>USDNOK</t>
  </si>
  <si>
    <t>EURSGD</t>
  </si>
  <si>
    <t>USDCAD</t>
  </si>
  <si>
    <t>USDJPY</t>
  </si>
  <si>
    <t>GBPUSD</t>
  </si>
  <si>
    <t>GBPAUD</t>
  </si>
  <si>
    <t>GBPCAD</t>
  </si>
  <si>
    <t>GBPCHF</t>
  </si>
  <si>
    <t>GBPSGD</t>
  </si>
  <si>
    <t>GBPNZD</t>
  </si>
  <si>
    <t>GBPJPY</t>
  </si>
  <si>
    <t>CHFJPY</t>
  </si>
  <si>
    <t>AUDNZD</t>
  </si>
  <si>
    <t>AUDSGD</t>
  </si>
  <si>
    <t>AUDCAD</t>
  </si>
  <si>
    <t>CADJPY</t>
  </si>
  <si>
    <t>EURAUD</t>
  </si>
  <si>
    <t>EURCHF</t>
  </si>
  <si>
    <t>AUDJPY</t>
  </si>
  <si>
    <t>CADCHF</t>
  </si>
  <si>
    <t>AUDCHF</t>
  </si>
  <si>
    <t>EURCAD</t>
  </si>
  <si>
    <t>NZDSGD</t>
  </si>
  <si>
    <t>NZDUSD</t>
  </si>
  <si>
    <t>AUDUSD</t>
  </si>
  <si>
    <t>NZDCAD</t>
  </si>
  <si>
    <t>NZDCHF</t>
  </si>
  <si>
    <t>NZDJPY</t>
  </si>
  <si>
    <t>SGDJPY</t>
  </si>
  <si>
    <t>XAUUSD</t>
  </si>
  <si>
    <t>XAGUSD</t>
  </si>
  <si>
    <t>XPTUSD</t>
  </si>
  <si>
    <t>XPDUSD</t>
  </si>
  <si>
    <t>.HGxx</t>
  </si>
  <si>
    <t>CFD</t>
  </si>
  <si>
    <t>PM</t>
  </si>
  <si>
    <t>FX</t>
  </si>
  <si>
    <t>CHFSGD</t>
  </si>
  <si>
    <t>Exotic Pairs</t>
  </si>
  <si>
    <t>USDTWD</t>
  </si>
  <si>
    <t>Digits</t>
  </si>
  <si>
    <t>Crypto</t>
  </si>
  <si>
    <t>Long Points (BGI)</t>
  </si>
  <si>
    <t>Short Points (BGI)</t>
  </si>
  <si>
    <t>Type (BGI)</t>
  </si>
  <si>
    <t>Contract Size (BGI)</t>
  </si>
  <si>
    <t>Digits (BGI)</t>
  </si>
  <si>
    <t>Core Symbol (BGI)</t>
  </si>
  <si>
    <t>Core Symbol (Vantage)</t>
  </si>
  <si>
    <t>CHF/SGD</t>
  </si>
  <si>
    <t>USD/TWD</t>
  </si>
  <si>
    <t>Contract Size (Vantage)</t>
  </si>
  <si>
    <t>Digits (Vantage)</t>
  </si>
  <si>
    <t>-</t>
  </si>
  <si>
    <t>USD</t>
  </si>
  <si>
    <t>Currency</t>
  </si>
  <si>
    <t>JPY</t>
  </si>
  <si>
    <t>EUR</t>
  </si>
  <si>
    <t>RUB</t>
  </si>
  <si>
    <t>CHF</t>
  </si>
  <si>
    <t>SEK</t>
  </si>
  <si>
    <t>NOK</t>
  </si>
  <si>
    <t>SGD</t>
  </si>
  <si>
    <t>CZK</t>
  </si>
  <si>
    <t>DKK</t>
  </si>
  <si>
    <t>HKD</t>
  </si>
  <si>
    <t>HUF</t>
  </si>
  <si>
    <t>PLN</t>
  </si>
  <si>
    <t>TRY</t>
  </si>
  <si>
    <t>MXN</t>
  </si>
  <si>
    <t>NZD</t>
  </si>
  <si>
    <t>ZAR</t>
  </si>
  <si>
    <t>GBP</t>
  </si>
  <si>
    <t>CNH</t>
  </si>
  <si>
    <t>AUD</t>
  </si>
  <si>
    <t>CAD</t>
  </si>
  <si>
    <t>Long (USD)</t>
  </si>
  <si>
    <t>Short (USD)</t>
  </si>
  <si>
    <t>Contract</t>
  </si>
  <si>
    <t>Convert Rate</t>
  </si>
  <si>
    <t>TWD</t>
  </si>
  <si>
    <t>Long (Margin Currency)</t>
  </si>
  <si>
    <t>Short (Margin Currency)</t>
  </si>
  <si>
    <t>Copper-C</t>
  </si>
  <si>
    <t>NG-C</t>
  </si>
  <si>
    <t>OJ-C</t>
  </si>
  <si>
    <t>GASOIL-C</t>
  </si>
  <si>
    <t>BCHUSD</t>
  </si>
  <si>
    <t>DSHUSD</t>
  </si>
  <si>
    <t>LTCUSD</t>
  </si>
  <si>
    <t>ETHUSD</t>
  </si>
  <si>
    <t>XRPUSD</t>
  </si>
  <si>
    <t>HO-C</t>
  </si>
  <si>
    <t>Type</t>
  </si>
  <si>
    <t>Long Points (Average)</t>
  </si>
  <si>
    <t>Short Points (Average)</t>
  </si>
  <si>
    <t>Cotton-C</t>
  </si>
  <si>
    <t>.COTTONv</t>
  </si>
  <si>
    <t>.COPPERv</t>
  </si>
  <si>
    <t>Coffee-C</t>
  </si>
  <si>
    <t>.COFFEEv</t>
  </si>
  <si>
    <t>Cocoa-C</t>
  </si>
  <si>
    <t>.COCOAv</t>
  </si>
  <si>
    <t>GAS-C</t>
  </si>
  <si>
    <t>.GASv</t>
  </si>
  <si>
    <t>.GASOILv</t>
  </si>
  <si>
    <t>.HOv</t>
  </si>
  <si>
    <t>.NGv</t>
  </si>
  <si>
    <t>Sugar-C</t>
  </si>
  <si>
    <t>.SUGARv</t>
  </si>
  <si>
    <t>.OJv</t>
  </si>
  <si>
    <t>Commodities</t>
  </si>
  <si>
    <t>Get the csv from Vantage copy the entire content into "Raw Data" Sheet</t>
  </si>
  <si>
    <t>Calculate per lot prices in USE. Use "Conversion" worksheet to do conversion and puts it into "BGI_Per_Lot"</t>
  </si>
  <si>
    <t>Compare the Current prices with the moving average</t>
  </si>
  <si>
    <t>Compare the Swap values with FXdd and Fxpro</t>
  </si>
  <si>
    <t>Steps</t>
  </si>
  <si>
    <t>Comment</t>
  </si>
  <si>
    <t>retail</t>
  </si>
  <si>
    <t>insti</t>
  </si>
  <si>
    <t>Processed_Data</t>
  </si>
  <si>
    <t>Insti_Fixed</t>
  </si>
  <si>
    <t>Raw_Data</t>
  </si>
  <si>
    <t>Conversion</t>
  </si>
  <si>
    <t>BGI_Core_Symbol</t>
  </si>
  <si>
    <t>BGI_Per_Lot</t>
  </si>
  <si>
    <t>Moving_Average_Compare</t>
  </si>
  <si>
    <t>Forced_Swaps</t>
  </si>
  <si>
    <t>FXdD_Swaps</t>
  </si>
  <si>
    <t>Fxpro_Swaps</t>
  </si>
  <si>
    <t>The Retail swap for BGI</t>
  </si>
  <si>
    <t>The Insti Swaps for BGI</t>
  </si>
  <si>
    <t>Processed data from the Raw. Added Markup and Change in Symbol name</t>
  </si>
  <si>
    <t>The Fixed Swaps for insiti. Usually just the PMs</t>
  </si>
  <si>
    <t>The Raw data from Vantage CSV</t>
  </si>
  <si>
    <t xml:space="preserve">Conversion of currency. </t>
  </si>
  <si>
    <t xml:space="preserve">Calculation of the BGI per lot price. </t>
  </si>
  <si>
    <t xml:space="preserve">The Comparision page. </t>
  </si>
  <si>
    <t xml:space="preserve">Forced Swaps should we want to force the swaps to be that. </t>
  </si>
  <si>
    <t>Swaps taken from FXdd</t>
  </si>
  <si>
    <t>Swaps taken from Fxpro</t>
  </si>
  <si>
    <t>Worksheet</t>
  </si>
  <si>
    <t>BTCEUR</t>
  </si>
  <si>
    <t>DSHBTC</t>
  </si>
  <si>
    <t>EMCUSD</t>
  </si>
  <si>
    <t>ETHBTC</t>
  </si>
  <si>
    <t>ETHEUR</t>
  </si>
  <si>
    <t>LTCBTC</t>
  </si>
  <si>
    <t>LTCEUR</t>
  </si>
  <si>
    <t>XRPEUR</t>
  </si>
  <si>
    <t>XMRBTC</t>
  </si>
  <si>
    <t>BTCGBP</t>
  </si>
  <si>
    <t>Markup</t>
  </si>
  <si>
    <t>BTC</t>
  </si>
  <si>
    <t>Process the Data. Change the symbol names to BGI naming. Puts into "Processed_Data"</t>
  </si>
  <si>
    <t>Puts the swaps values into "Retail" Sheet. Vlookup from "Forced_Swaps". If not found, use data from "Processed_Data". Take into account Digit Difference.</t>
  </si>
  <si>
    <t xml:space="preserve">Puts TopFX Swaps into Calculator. Will divide by 3 if it’s a 3 day swaps. </t>
  </si>
  <si>
    <t>Vlookup on the crypto swaps and copy the relavant symbols into Retail ws</t>
  </si>
  <si>
    <t xml:space="preserve">Now o calculate the Insti Swaps. Use Vlookup to search "Insti_Fixed" Worksheet. If its not there, Use the Retail Spread as well. </t>
  </si>
  <si>
    <t>No</t>
  </si>
  <si>
    <t>Yes</t>
  </si>
  <si>
    <t>TopFX_Swaps</t>
  </si>
  <si>
    <r>
      <t>Swaps taken from TopFX. (</t>
    </r>
    <r>
      <rPr>
        <sz val="11"/>
        <color rgb="FFFF0000"/>
        <rFont val="Calibri"/>
        <family val="2"/>
        <scheme val="minor"/>
      </rPr>
      <t>This is always 1 day late.</t>
    </r>
    <r>
      <rPr>
        <sz val="11"/>
        <color theme="1"/>
        <rFont val="Calibri"/>
        <family val="2"/>
        <scheme val="minor"/>
      </rPr>
      <t>)</t>
    </r>
  </si>
  <si>
    <t>Worksheet Hidden</t>
  </si>
  <si>
    <t>Moving_Average_30052018</t>
  </si>
  <si>
    <t>The Moving Average that should be updated with the market as of 30th May 2018</t>
  </si>
  <si>
    <t>Control</t>
  </si>
  <si>
    <t>The worksheet to control the markup of the Swaps</t>
  </si>
  <si>
    <t>Controls the markup of the different symbols</t>
  </si>
  <si>
    <t>The list of all the BGI Core Symbol and the Digits, Contract Sizes as well as the moving averge of the swaps</t>
  </si>
  <si>
    <t>Additional Info</t>
  </si>
  <si>
    <t>Crypto Swaps changed to TopFX since 30 May 2018</t>
  </si>
  <si>
    <t>https://www.fxdd.com/mt/en/trading/offering</t>
  </si>
  <si>
    <t>FXdd Swaps</t>
  </si>
  <si>
    <t>FxPro Swaps</t>
  </si>
  <si>
    <t>https://www.fxpro.co.uk/trading/forex</t>
  </si>
  <si>
    <t>TopFX Swaps</t>
  </si>
  <si>
    <t>http://www.topfx.com/en/swap/institutional-rates/cfds/</t>
  </si>
  <si>
    <t>Swaps</t>
  </si>
  <si>
    <t>ALL</t>
  </si>
  <si>
    <t>MT5 Swap Rates</t>
  </si>
  <si>
    <t>MT5_Fixed</t>
  </si>
  <si>
    <t>Should any Rates need to be fixed on MT5</t>
  </si>
  <si>
    <t>Pairs</t>
  </si>
  <si>
    <t>Positive</t>
  </si>
  <si>
    <t>Negative</t>
  </si>
  <si>
    <t>BGI Data</t>
  </si>
  <si>
    <t>Raw Data</t>
  </si>
  <si>
    <t>Processed Data</t>
  </si>
  <si>
    <t>Compare</t>
  </si>
  <si>
    <t>Long</t>
  </si>
  <si>
    <t>Short</t>
  </si>
  <si>
    <t>INSTRUMENT</t>
  </si>
  <si>
    <t>LONG POSITIONS</t>
  </si>
  <si>
    <t>SHORT POSITIONS</t>
  </si>
  <si>
    <t>AEXEUR</t>
  </si>
  <si>
    <t>AXJAUD</t>
  </si>
  <si>
    <t>GEREUR</t>
  </si>
  <si>
    <t>DJIUSD</t>
  </si>
  <si>
    <t>F40EUR</t>
  </si>
  <si>
    <t>FTSGBP</t>
  </si>
  <si>
    <t>HSIHKD</t>
  </si>
  <si>
    <t>IBXEUR</t>
  </si>
  <si>
    <t>NDXUSD</t>
  </si>
  <si>
    <t>SPXUSD</t>
  </si>
  <si>
    <t>SSMCHF</t>
  </si>
  <si>
    <t>STXEUR</t>
  </si>
  <si>
    <t>IT4EUR</t>
  </si>
  <si>
    <t>CHIA50</t>
  </si>
  <si>
    <t>SINSGD</t>
  </si>
  <si>
    <t>POLEUR</t>
  </si>
  <si>
    <t>XRPBTC</t>
  </si>
  <si>
    <t>EOSBTC</t>
  </si>
  <si>
    <t>ETCBTC</t>
  </si>
  <si>
    <t>IOTBTC</t>
  </si>
  <si>
    <t>NEOBTC</t>
  </si>
  <si>
    <t>OMNBTC</t>
  </si>
  <si>
    <t>BTCRUB</t>
  </si>
  <si>
    <t>BTCCNH</t>
  </si>
  <si>
    <t>BTCJPY</t>
  </si>
  <si>
    <t>BCHBTC</t>
  </si>
  <si>
    <t>DSHCNH</t>
  </si>
  <si>
    <t>EMCBTC</t>
  </si>
  <si>
    <t>ETHCNH</t>
  </si>
  <si>
    <t>ETHJPY</t>
  </si>
  <si>
    <t>ETHLTC</t>
  </si>
  <si>
    <t>ETHRUB</t>
  </si>
  <si>
    <t>LTCCNH</t>
  </si>
  <si>
    <t>LTCJPY</t>
  </si>
  <si>
    <t>LTCRUB</t>
  </si>
  <si>
    <t>NMCBTC</t>
  </si>
  <si>
    <t>NMCUSD</t>
  </si>
  <si>
    <t>PPCBTC</t>
  </si>
  <si>
    <t>PPCUSD</t>
  </si>
  <si>
    <t>USTUSD</t>
  </si>
  <si>
    <t>Long Swaps (Negative, Using 1 day Swap)</t>
  </si>
  <si>
    <t>Short Swaps (Negative, Using 1 day Swap)</t>
  </si>
  <si>
    <t>CP (BCCC)</t>
  </si>
  <si>
    <t>BUY Positions</t>
  </si>
  <si>
    <t>SELL Positions</t>
  </si>
  <si>
    <t>21st March 2019</t>
  </si>
  <si>
    <t xml:space="preserve">Vantage Swaps with extra column on column B. </t>
  </si>
  <si>
    <t>Change Log</t>
  </si>
  <si>
    <t>Bloomberg Dividend</t>
  </si>
  <si>
    <t>Long Compare (Divide by Avg)</t>
  </si>
  <si>
    <t>Long Compare (Divide by Current)</t>
  </si>
  <si>
    <t>Short Compare (Divide by Avg)</t>
  </si>
  <si>
    <t>Short Compare (Divide by Current)</t>
  </si>
  <si>
    <t>FXdd(Long)</t>
  </si>
  <si>
    <t>Long Compare (Divided by FXdd)</t>
  </si>
  <si>
    <t>Long Compare (Divided by BGI)</t>
  </si>
  <si>
    <t>FXpro(Long)</t>
  </si>
  <si>
    <t>Long Compare (Divided by FXpro)</t>
  </si>
  <si>
    <t>FXdd(Short)</t>
  </si>
  <si>
    <t>Short Compare (Divided by FXdd)</t>
  </si>
  <si>
    <t>Short Compare (Divided by BGI)</t>
  </si>
  <si>
    <t>FXpro(Short)</t>
  </si>
  <si>
    <t>Short Compare (Divided by FXpro)</t>
  </si>
  <si>
    <t>|</t>
  </si>
  <si>
    <t>29th March 2019</t>
  </si>
  <si>
    <t>Fix MT5 Swaps as well.</t>
  </si>
  <si>
    <t>Symbol Group Path</t>
  </si>
  <si>
    <t>*</t>
  </si>
  <si>
    <t>#AAPL</t>
  </si>
  <si>
    <t>#AMZN</t>
  </si>
  <si>
    <t>AUS200</t>
  </si>
  <si>
    <t>#BABA</t>
  </si>
  <si>
    <t>#BAC</t>
  </si>
  <si>
    <t>#BIDU</t>
  </si>
  <si>
    <t>CHN.50</t>
  </si>
  <si>
    <t>USA.30</t>
  </si>
  <si>
    <t>ESP.35</t>
  </si>
  <si>
    <t>#FB</t>
  </si>
  <si>
    <t>FRA.40</t>
  </si>
  <si>
    <t>GER.30</t>
  </si>
  <si>
    <t>#GOOGL</t>
  </si>
  <si>
    <t>HKG.33</t>
  </si>
  <si>
    <t>JPN225</t>
  </si>
  <si>
    <t>#NFLX</t>
  </si>
  <si>
    <t>OILUSD</t>
  </si>
  <si>
    <t>SPX500</t>
  </si>
  <si>
    <t>#TSLA</t>
  </si>
  <si>
    <t>#TWTR</t>
  </si>
  <si>
    <t>UK.100</t>
  </si>
  <si>
    <t>XAGEUR</t>
  </si>
  <si>
    <t>XAUEUR</t>
  </si>
  <si>
    <t>mt4_symbol</t>
  </si>
  <si>
    <t>dividend</t>
  </si>
  <si>
    <t>Date(DD-MM-YYYY)</t>
  </si>
  <si>
    <t>CFD_20</t>
  </si>
  <si>
    <t>FX_20%</t>
  </si>
  <si>
    <t>#BA</t>
  </si>
  <si>
    <t>#GE</t>
  </si>
  <si>
    <t>#GLW</t>
  </si>
  <si>
    <t>#GS</t>
  </si>
  <si>
    <t>#LMT</t>
  </si>
  <si>
    <t>#MA</t>
  </si>
  <si>
    <t>#V</t>
  </si>
  <si>
    <t>#AZN</t>
  </si>
  <si>
    <t>#JNJ</t>
  </si>
  <si>
    <t>#MRK</t>
  </si>
  <si>
    <t>#PFE</t>
  </si>
  <si>
    <t>.XNGUSD</t>
  </si>
  <si>
    <t>USD.X</t>
  </si>
  <si>
    <t>EURHUF</t>
  </si>
  <si>
    <t>EURZAR</t>
  </si>
  <si>
    <t>GBPZAR</t>
  </si>
  <si>
    <t>USDBRL</t>
  </si>
  <si>
    <t>USDCNY</t>
  </si>
  <si>
    <t>USDINR</t>
  </si>
  <si>
    <t>TRYJPY</t>
  </si>
  <si>
    <t>ZARJPY</t>
  </si>
  <si>
    <t>digits</t>
  </si>
  <si>
    <t>USD/CZK</t>
  </si>
  <si>
    <t>XAU/AUD</t>
  </si>
  <si>
    <t>XAG/AUD</t>
  </si>
  <si>
    <t>AUD/CNH</t>
  </si>
  <si>
    <t>COPPER-C</t>
  </si>
  <si>
    <t>Soybean-C</t>
  </si>
  <si>
    <t>Wheat-C</t>
  </si>
  <si>
    <t>ITA40</t>
  </si>
  <si>
    <t>USDCZK</t>
  </si>
  <si>
    <t>XAUAUD</t>
  </si>
  <si>
    <t>XAGAUD</t>
  </si>
  <si>
    <t>AUDCNH</t>
  </si>
  <si>
    <t>#AMD</t>
  </si>
  <si>
    <t>#AXP</t>
  </si>
  <si>
    <t>#CAT</t>
  </si>
  <si>
    <t>#DIS</t>
  </si>
  <si>
    <t>#HD</t>
  </si>
  <si>
    <t>#IBM</t>
  </si>
  <si>
    <t>#JPM</t>
  </si>
  <si>
    <t>#KO</t>
  </si>
  <si>
    <t>#MMM</t>
  </si>
  <si>
    <t>#MSFT</t>
  </si>
  <si>
    <t>#NKE</t>
  </si>
  <si>
    <t>#SHOP</t>
  </si>
  <si>
    <t>#UNH</t>
  </si>
  <si>
    <t>#VZ</t>
  </si>
  <si>
    <t>#WBA</t>
  </si>
  <si>
    <t>#WMT</t>
  </si>
  <si>
    <t>#XOM</t>
  </si>
  <si>
    <t>#ZM</t>
  </si>
  <si>
    <t>USDKRW</t>
  </si>
  <si>
    <t>29-07-2021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</si>
</sst>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theme="1"/>
      <name val="Arial"/>
      <family val="2"/>
    </font>
    <font>
      <sz val="11"/>
      <color rgb="FF9C0006"/>
      <name val="Calibri"/>
      <family val="2"/>
      <scheme val="minor"/>
    </font>
    <font>
      <sz val="11"/>
      <name val="Calibri"/>
      <family val="1"/>
      <scheme val="minor"/>
    </font>
    <font>
      <b/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808080"/>
      <name val="Courier New"/>
      <family val="3"/>
    </font>
    <font>
      <sz val="9"/>
      <color rgb="FF6A8759"/>
      <name val="Courier New"/>
      <family val="3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849971007415997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80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1" fillId="5" borderId="1" xfId="0" applyFont="1" applyFill="1" applyBorder="1"/>
    <xf numFmtId="0" fontId="0" fillId="0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64" fontId="0" fillId="3" borderId="1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3" borderId="1" xfId="0" quotePrefix="1" applyFill="1" applyBorder="1" applyAlignment="1">
      <alignment horizontal="center"/>
    </xf>
    <xf numFmtId="0" fontId="1" fillId="5" borderId="1" xfId="0" applyFont="1" applyFill="1" applyBorder="1" applyAlignment="1">
      <alignment horizontal="center" wrapText="1"/>
    </xf>
    <xf numFmtId="0" fontId="2" fillId="7" borderId="1" xfId="0" applyFont="1" applyFill="1" applyBorder="1" applyAlignment="1">
      <alignment horizontal="center" vertical="center"/>
    </xf>
    <xf numFmtId="164" fontId="0" fillId="7" borderId="1" xfId="0" applyNumberForma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164" fontId="0" fillId="7" borderId="1" xfId="0" applyNumberFormat="1" applyFill="1" applyBorder="1" applyAlignment="1">
      <alignment horizontal="center" vertical="center"/>
    </xf>
    <xf numFmtId="0" fontId="0" fillId="8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0" fontId="5" fillId="7" borderId="1" xfId="1" applyFont="1" applyFill="1" applyBorder="1" applyAlignment="1">
      <alignment horizontal="center"/>
    </xf>
    <xf numFmtId="0" fontId="0" fillId="7" borderId="1" xfId="0" applyFont="1" applyFill="1" applyBorder="1" applyAlignment="1">
      <alignment horizontal="center"/>
    </xf>
    <xf numFmtId="0" fontId="0" fillId="12" borderId="0" xfId="0" applyFill="1"/>
    <xf numFmtId="0" fontId="1" fillId="13" borderId="1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6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1" fillId="13" borderId="1" xfId="0" applyFont="1" applyFill="1" applyBorder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center" wrapText="1"/>
    </xf>
    <xf numFmtId="0" fontId="0" fillId="12" borderId="1" xfId="0" applyFill="1" applyBorder="1" applyAlignment="1">
      <alignment horizontal="center"/>
    </xf>
    <xf numFmtId="0" fontId="0" fillId="13" borderId="0" xfId="0" applyFill="1"/>
    <xf numFmtId="0" fontId="0" fillId="0" borderId="1" xfId="0" applyBorder="1" applyAlignment="1">
      <alignment horizontal="left" wrapText="1"/>
    </xf>
    <xf numFmtId="0" fontId="1" fillId="0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6" fillId="5" borderId="1" xfId="0" applyFont="1" applyFill="1" applyBorder="1" applyAlignment="1">
      <alignment horizontal="center"/>
    </xf>
    <xf numFmtId="0" fontId="0" fillId="3" borderId="1" xfId="0" applyFill="1" applyBorder="1"/>
    <xf numFmtId="9" fontId="0" fillId="12" borderId="1" xfId="0" applyNumberForma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0" fillId="15" borderId="1" xfId="0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0" fontId="0" fillId="18" borderId="1" xfId="0" applyFill="1" applyBorder="1" applyAlignment="1">
      <alignment horizontal="center"/>
    </xf>
    <xf numFmtId="0" fontId="0" fillId="17" borderId="1" xfId="0" applyFill="1" applyBorder="1" applyAlignment="1">
      <alignment horizontal="center"/>
    </xf>
    <xf numFmtId="0" fontId="1" fillId="14" borderId="1" xfId="0" applyFont="1" applyFill="1" applyBorder="1" applyAlignment="1">
      <alignment horizontal="center" wrapText="1"/>
    </xf>
    <xf numFmtId="0" fontId="0" fillId="15" borderId="1" xfId="0" applyFill="1" applyBorder="1" applyAlignment="1">
      <alignment horizontal="center" wrapText="1"/>
    </xf>
    <xf numFmtId="0" fontId="0" fillId="19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13" borderId="0" xfId="0" applyFill="1" applyAlignment="1">
      <alignment wrapText="1"/>
    </xf>
    <xf numFmtId="0" fontId="0" fillId="0" borderId="1" xfId="0" applyFill="1" applyBorder="1" applyAlignment="1">
      <alignment wrapText="1"/>
    </xf>
    <xf numFmtId="0" fontId="1" fillId="0" borderId="1" xfId="0" applyFont="1" applyFill="1" applyBorder="1" applyAlignment="1">
      <alignment wrapText="1"/>
    </xf>
    <xf numFmtId="0" fontId="0" fillId="0" borderId="1" xfId="0" applyBorder="1" applyAlignment="1">
      <alignment horizontal="center"/>
    </xf>
    <xf numFmtId="0" fontId="0" fillId="20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0" fillId="21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11" fillId="0" borderId="3" xfId="2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6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</cellXfs>
  <cellStyles count="3">
    <cellStyle name="Bad" xfId="1" builtinId="27"/>
    <cellStyle name="Hyperlink" xfId="2" builtinId="8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www.fxdd.com/mt/en/trading/offering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84"/>
  <sheetViews>
    <sheetView workbookViewId="0">
      <selection activeCell="E75" sqref="E75"/>
    </sheetView>
  </sheetViews>
  <sheetFormatPr defaultRowHeight="15" x14ac:dyDescent="0.25"/>
  <cols>
    <col min="1" max="1" width="17.28515625" bestFit="1" customWidth="1"/>
    <col min="2" max="2" width="16.140625" bestFit="1" customWidth="1"/>
    <col min="3" max="3" width="16.7109375" bestFit="1" customWidth="1"/>
    <col min="4" max="4" width="6.85546875" customWidth="1"/>
    <col min="5" max="5" width="17.28515625" bestFit="1" customWidth="1"/>
    <col min="6" max="6" width="9.7109375" bestFit="1" customWidth="1"/>
    <col min="7" max="7" width="8.7109375" bestFit="1" customWidth="1"/>
    <col min="8" max="8" width="7.7109375" bestFit="1" customWidth="1"/>
    <col min="9" max="9" width="6.140625" bestFit="1" customWidth="1"/>
    <col min="10" max="11" width="5.5703125" customWidth="1"/>
  </cols>
  <sheetData>
    <row r="1" spans="1:3" x14ac:dyDescent="0.25">
      <c r="A1" s="19" t="s">
        <v>176</v>
      </c>
      <c r="B1" s="19" t="s">
        <v>171</v>
      </c>
      <c r="C1" s="19" t="s">
        <v>172</v>
      </c>
    </row>
    <row r="2" spans="1:3" x14ac:dyDescent="0.25">
      <c r="A2" s="66" t="s">
        <v>143</v>
      </c>
      <c r="B2" s="66">
        <v>-2.1890000000000001</v>
      </c>
      <c r="C2" s="66">
        <v>-0.79199999999999993</v>
      </c>
    </row>
    <row r="3" spans="1:3" x14ac:dyDescent="0.25">
      <c r="A3" s="66" t="s">
        <v>149</v>
      </c>
      <c r="B3" s="66">
        <v>0.41400000000000003</v>
      </c>
      <c r="C3" s="66">
        <v>-2.9369999999999998</v>
      </c>
    </row>
    <row r="4" spans="1:3" x14ac:dyDescent="0.25">
      <c r="A4" s="66" t="s">
        <v>147</v>
      </c>
      <c r="B4" s="66">
        <v>-0.84699999999999998</v>
      </c>
      <c r="C4" s="66">
        <v>-1.694</v>
      </c>
    </row>
    <row r="5" spans="1:3" x14ac:dyDescent="0.25">
      <c r="A5" s="66" t="s">
        <v>141</v>
      </c>
      <c r="B5" s="66">
        <v>-2.1779999999999999</v>
      </c>
      <c r="C5" s="66">
        <v>-1.2429999999999999</v>
      </c>
    </row>
    <row r="6" spans="1:3" x14ac:dyDescent="0.25">
      <c r="A6" s="66" t="s">
        <v>142</v>
      </c>
      <c r="B6" s="66">
        <v>-2.7829999999999999</v>
      </c>
      <c r="C6" s="66">
        <v>-1.65</v>
      </c>
    </row>
    <row r="7" spans="1:3" x14ac:dyDescent="0.25">
      <c r="A7" s="66" t="s">
        <v>153</v>
      </c>
      <c r="B7" s="66">
        <v>-2.6070000000000002</v>
      </c>
      <c r="C7" s="66">
        <v>-1.8479999999999999</v>
      </c>
    </row>
    <row r="8" spans="1:3" x14ac:dyDescent="0.25">
      <c r="A8" s="66" t="s">
        <v>148</v>
      </c>
      <c r="B8" s="66">
        <v>0.75600000000000001</v>
      </c>
      <c r="C8" s="66">
        <v>-3.6850000000000001</v>
      </c>
    </row>
    <row r="9" spans="1:3" x14ac:dyDescent="0.25">
      <c r="A9" s="66" t="s">
        <v>144</v>
      </c>
      <c r="B9" s="66">
        <v>-0.27500000000000002</v>
      </c>
      <c r="C9" s="66">
        <v>-2.4200000000000004</v>
      </c>
    </row>
    <row r="10" spans="1:3" x14ac:dyDescent="0.25">
      <c r="A10" s="66" t="s">
        <v>105</v>
      </c>
      <c r="B10" s="66">
        <v>7.1999999999999995E-2</v>
      </c>
      <c r="C10" s="66">
        <v>-1.8039999999999998</v>
      </c>
    </row>
    <row r="11" spans="1:3" x14ac:dyDescent="0.25">
      <c r="A11" s="66" t="s">
        <v>140</v>
      </c>
      <c r="B11" s="66">
        <v>-4.2789999999999999</v>
      </c>
      <c r="C11" s="66">
        <v>0.53099999999999992</v>
      </c>
    </row>
    <row r="12" spans="1:3" x14ac:dyDescent="0.25">
      <c r="A12" s="6" t="s">
        <v>166</v>
      </c>
      <c r="B12" s="6">
        <v>-10.043000000000001</v>
      </c>
      <c r="C12" s="6">
        <v>-2.794</v>
      </c>
    </row>
    <row r="13" spans="1:3" x14ac:dyDescent="0.25">
      <c r="A13" s="66" t="s">
        <v>145</v>
      </c>
      <c r="B13" s="66">
        <v>-5.258</v>
      </c>
      <c r="C13" s="66">
        <v>0.26999999999999996</v>
      </c>
    </row>
    <row r="14" spans="1:3" x14ac:dyDescent="0.25">
      <c r="A14" s="66" t="s">
        <v>150</v>
      </c>
      <c r="B14" s="66">
        <v>-6.05</v>
      </c>
      <c r="C14" s="66">
        <v>0.93600000000000005</v>
      </c>
    </row>
    <row r="15" spans="1:3" x14ac:dyDescent="0.25">
      <c r="A15" s="66" t="s">
        <v>146</v>
      </c>
      <c r="B15" s="66">
        <v>-0.82499999999999996</v>
      </c>
      <c r="C15" s="66">
        <v>-2.6070000000000002</v>
      </c>
    </row>
    <row r="16" spans="1:3" x14ac:dyDescent="0.25">
      <c r="A16" s="66" t="s">
        <v>122</v>
      </c>
      <c r="B16" s="66">
        <v>-3.9710000000000001</v>
      </c>
      <c r="C16" s="66">
        <v>-0.42899999999999999</v>
      </c>
    </row>
    <row r="17" spans="1:3" x14ac:dyDescent="0.25">
      <c r="A17" s="66" t="s">
        <v>126</v>
      </c>
      <c r="B17" s="66">
        <v>-3.63</v>
      </c>
      <c r="C17" s="66">
        <v>-0.19799999999999998</v>
      </c>
    </row>
    <row r="18" spans="1:3" x14ac:dyDescent="0.25">
      <c r="A18" s="66" t="s">
        <v>128</v>
      </c>
      <c r="B18" s="66">
        <v>-6.5119999999999996</v>
      </c>
      <c r="C18" s="66">
        <v>0.63900000000000001</v>
      </c>
    </row>
    <row r="19" spans="1:3" x14ac:dyDescent="0.25">
      <c r="A19" s="66" t="s">
        <v>130</v>
      </c>
      <c r="B19" s="66">
        <v>-7.4140000000000006</v>
      </c>
      <c r="C19" s="66">
        <v>0.16200000000000001</v>
      </c>
    </row>
    <row r="20" spans="1:3" x14ac:dyDescent="0.25">
      <c r="A20" s="66" t="s">
        <v>127</v>
      </c>
      <c r="B20" s="66">
        <v>-5.3879999999999999</v>
      </c>
      <c r="C20" s="66">
        <v>0.504</v>
      </c>
    </row>
    <row r="21" spans="1:3" x14ac:dyDescent="0.25">
      <c r="A21" s="66" t="s">
        <v>134</v>
      </c>
      <c r="B21" s="66">
        <v>-3.883</v>
      </c>
      <c r="C21" s="66">
        <v>-4.95</v>
      </c>
    </row>
    <row r="22" spans="1:3" x14ac:dyDescent="0.25">
      <c r="A22" s="66" t="s">
        <v>135</v>
      </c>
      <c r="B22" s="66">
        <v>-4.8620000000000001</v>
      </c>
      <c r="C22" s="66">
        <v>-3.3439999999999999</v>
      </c>
    </row>
    <row r="23" spans="1:3" x14ac:dyDescent="0.25">
      <c r="A23" s="66" t="s">
        <v>136</v>
      </c>
      <c r="B23" s="66">
        <v>0.33300000000000002</v>
      </c>
      <c r="C23" s="66">
        <v>-6.8310000000000004</v>
      </c>
    </row>
    <row r="24" spans="1:3" x14ac:dyDescent="0.25">
      <c r="A24" s="66" t="s">
        <v>139</v>
      </c>
      <c r="B24" s="66">
        <v>-2.31</v>
      </c>
      <c r="C24" s="66">
        <v>-4.7080000000000002</v>
      </c>
    </row>
    <row r="25" spans="1:3" x14ac:dyDescent="0.25">
      <c r="A25" s="66" t="s">
        <v>138</v>
      </c>
      <c r="B25" s="66">
        <v>-5.6040000000000001</v>
      </c>
      <c r="C25" s="66">
        <v>-5.0640000000000001</v>
      </c>
    </row>
    <row r="26" spans="1:3" x14ac:dyDescent="0.25">
      <c r="A26" s="66" t="s">
        <v>137</v>
      </c>
      <c r="B26" s="66">
        <v>-4.2789999999999999</v>
      </c>
      <c r="C26" s="66">
        <v>-3.355</v>
      </c>
    </row>
    <row r="27" spans="1:3" x14ac:dyDescent="0.25">
      <c r="A27" s="66" t="s">
        <v>133</v>
      </c>
      <c r="B27" s="66">
        <v>-3.8279999999999998</v>
      </c>
      <c r="C27" s="66">
        <v>-3.1019999999999999</v>
      </c>
    </row>
    <row r="28" spans="1:3" x14ac:dyDescent="0.25">
      <c r="A28" s="66" t="s">
        <v>154</v>
      </c>
      <c r="B28" s="66">
        <v>-1.595</v>
      </c>
      <c r="C28" s="66">
        <v>-1.089</v>
      </c>
    </row>
    <row r="29" spans="1:3" x14ac:dyDescent="0.25">
      <c r="A29" s="66" t="s">
        <v>155</v>
      </c>
      <c r="B29" s="66">
        <v>0.54899999999999993</v>
      </c>
      <c r="C29" s="66">
        <v>-3.0140000000000002</v>
      </c>
    </row>
    <row r="30" spans="1:3" x14ac:dyDescent="0.25">
      <c r="A30" s="66" t="s">
        <v>156</v>
      </c>
      <c r="B30" s="66">
        <v>-0.45099999999999996</v>
      </c>
      <c r="C30" s="66">
        <v>-1.8259999999999998</v>
      </c>
    </row>
    <row r="31" spans="1:3" x14ac:dyDescent="0.25">
      <c r="A31" s="66" t="s">
        <v>151</v>
      </c>
      <c r="B31" s="66">
        <v>-2.3320000000000003</v>
      </c>
      <c r="C31" s="66">
        <v>-1.9359999999999999</v>
      </c>
    </row>
    <row r="32" spans="1:3" x14ac:dyDescent="0.25">
      <c r="A32" s="66" t="s">
        <v>152</v>
      </c>
      <c r="B32" s="66">
        <v>-1.8260000000000001</v>
      </c>
      <c r="C32" s="66">
        <v>-1.2</v>
      </c>
    </row>
    <row r="33" spans="1:3" x14ac:dyDescent="0.25">
      <c r="A33" s="66" t="s">
        <v>157</v>
      </c>
      <c r="B33" s="66">
        <v>-0.73199999999999998</v>
      </c>
      <c r="C33" s="66">
        <v>-3.2280000000000002</v>
      </c>
    </row>
    <row r="34" spans="1:3" x14ac:dyDescent="0.25">
      <c r="A34" s="66" t="s">
        <v>131</v>
      </c>
      <c r="B34" s="66">
        <v>-2.508</v>
      </c>
      <c r="C34" s="66">
        <v>-2.4119999999999999</v>
      </c>
    </row>
    <row r="35" spans="1:3" x14ac:dyDescent="0.25">
      <c r="A35" s="66" t="s">
        <v>124</v>
      </c>
      <c r="B35" s="66">
        <v>0.43</v>
      </c>
      <c r="C35" s="66">
        <v>-5.15</v>
      </c>
    </row>
    <row r="36" spans="1:3" x14ac:dyDescent="0.25">
      <c r="A36" s="66" t="s">
        <v>132</v>
      </c>
      <c r="B36" s="66">
        <v>-1.3080000000000001</v>
      </c>
      <c r="C36" s="66">
        <v>-3.7680000000000002</v>
      </c>
    </row>
    <row r="37" spans="1:3" x14ac:dyDescent="0.25">
      <c r="A37" s="66" t="s">
        <v>125</v>
      </c>
      <c r="B37" s="66">
        <v>-3.78</v>
      </c>
      <c r="C37" s="66">
        <v>-2.82</v>
      </c>
    </row>
    <row r="38" spans="1:3" x14ac:dyDescent="0.25">
      <c r="A38" s="66" t="s">
        <v>103</v>
      </c>
      <c r="B38" s="66">
        <v>-10.98</v>
      </c>
      <c r="C38" s="66">
        <v>-14.95</v>
      </c>
    </row>
    <row r="39" spans="1:3" x14ac:dyDescent="0.25">
      <c r="A39" s="66" t="s">
        <v>110</v>
      </c>
      <c r="B39" s="66">
        <v>-37.74</v>
      </c>
      <c r="C39" s="66">
        <v>5.7359999999999998</v>
      </c>
    </row>
    <row r="40" spans="1:3" x14ac:dyDescent="0.25">
      <c r="A40" s="66" t="s">
        <v>114</v>
      </c>
      <c r="B40" s="66">
        <v>-588.24</v>
      </c>
      <c r="C40" s="66">
        <v>-50.49</v>
      </c>
    </row>
    <row r="41" spans="1:3" x14ac:dyDescent="0.25">
      <c r="A41" s="66" t="s">
        <v>108</v>
      </c>
      <c r="B41" s="66">
        <v>-36.372</v>
      </c>
      <c r="C41" s="66">
        <v>1.752</v>
      </c>
    </row>
    <row r="42" spans="1:3" x14ac:dyDescent="0.25">
      <c r="A42" s="66" t="s">
        <v>107</v>
      </c>
      <c r="B42" s="66">
        <v>-31.68</v>
      </c>
      <c r="C42" s="66">
        <v>-10.272</v>
      </c>
    </row>
    <row r="43" spans="1:3" x14ac:dyDescent="0.25">
      <c r="A43" s="66" t="s">
        <v>104</v>
      </c>
      <c r="B43" s="66">
        <v>-33.323999999999998</v>
      </c>
      <c r="C43" s="66">
        <v>-8.25</v>
      </c>
    </row>
    <row r="44" spans="1:3" x14ac:dyDescent="0.25">
      <c r="A44" s="66" t="s">
        <v>111</v>
      </c>
      <c r="B44" s="66">
        <v>-776.37599999999998</v>
      </c>
      <c r="C44" s="66">
        <v>0</v>
      </c>
    </row>
    <row r="45" spans="1:3" x14ac:dyDescent="0.25">
      <c r="A45" s="66" t="s">
        <v>109</v>
      </c>
      <c r="B45" s="66">
        <v>-64.084000000000003</v>
      </c>
      <c r="C45" s="66">
        <v>-26.315999999999999</v>
      </c>
    </row>
    <row r="46" spans="1:3" x14ac:dyDescent="0.25">
      <c r="A46" s="66" t="s">
        <v>106</v>
      </c>
      <c r="B46" s="66">
        <v>-24.64</v>
      </c>
      <c r="C46" s="66">
        <v>-27.29</v>
      </c>
    </row>
    <row r="47" spans="1:3" x14ac:dyDescent="0.25">
      <c r="A47" s="66" t="s">
        <v>100</v>
      </c>
      <c r="B47" s="66">
        <v>-15.6</v>
      </c>
      <c r="C47" s="66">
        <v>-15</v>
      </c>
    </row>
    <row r="48" spans="1:3" x14ac:dyDescent="0.25">
      <c r="A48" s="66" t="s">
        <v>98</v>
      </c>
      <c r="B48" s="66">
        <v>-0.108</v>
      </c>
      <c r="C48" s="66">
        <v>-1.452</v>
      </c>
    </row>
    <row r="49" spans="1:3" x14ac:dyDescent="0.25">
      <c r="A49" s="66" t="s">
        <v>97</v>
      </c>
      <c r="B49" s="66">
        <v>-0.108</v>
      </c>
      <c r="C49" s="66">
        <v>-1.925</v>
      </c>
    </row>
    <row r="50" spans="1:3" x14ac:dyDescent="0.25">
      <c r="A50" s="66" t="s">
        <v>99</v>
      </c>
      <c r="B50" s="66">
        <v>-0.54</v>
      </c>
      <c r="C50" s="66">
        <v>-1.595</v>
      </c>
    </row>
    <row r="51" spans="1:3" x14ac:dyDescent="0.25">
      <c r="A51" s="66" t="s">
        <v>102</v>
      </c>
      <c r="B51" s="66">
        <v>-1.524</v>
      </c>
      <c r="C51" s="66">
        <v>-8.6020000000000003</v>
      </c>
    </row>
    <row r="52" spans="1:3" x14ac:dyDescent="0.25">
      <c r="A52" s="66" t="s">
        <v>101</v>
      </c>
      <c r="B52" s="66">
        <v>-0.26400000000000001</v>
      </c>
      <c r="C52" s="66">
        <v>-0.216</v>
      </c>
    </row>
    <row r="53" spans="1:3" x14ac:dyDescent="0.25">
      <c r="A53" s="66" t="s">
        <v>123</v>
      </c>
      <c r="B53" s="66">
        <v>-134.4</v>
      </c>
      <c r="C53" s="66">
        <v>27.111999999999998</v>
      </c>
    </row>
    <row r="54" spans="1:3" x14ac:dyDescent="0.25">
      <c r="A54" s="66" t="s">
        <v>116</v>
      </c>
      <c r="B54" s="66">
        <v>3.8759999999999999</v>
      </c>
      <c r="C54" s="66">
        <v>-20.628</v>
      </c>
    </row>
    <row r="55" spans="1:3" x14ac:dyDescent="0.25">
      <c r="A55" s="66" t="s">
        <v>117</v>
      </c>
      <c r="B55" s="66">
        <v>0.80400000000000005</v>
      </c>
      <c r="C55" s="66">
        <v>-4.524</v>
      </c>
    </row>
    <row r="56" spans="1:3" x14ac:dyDescent="0.25">
      <c r="A56" s="66" t="s">
        <v>118</v>
      </c>
      <c r="B56" s="66">
        <v>-10.992000000000001</v>
      </c>
      <c r="C56" s="66">
        <v>-5.8440000000000003</v>
      </c>
    </row>
    <row r="57" spans="1:3" x14ac:dyDescent="0.25">
      <c r="A57" s="66" t="s">
        <v>112</v>
      </c>
      <c r="B57" s="66">
        <v>-444.14400000000001</v>
      </c>
      <c r="C57" s="66">
        <v>0</v>
      </c>
    </row>
    <row r="58" spans="1:3" x14ac:dyDescent="0.25">
      <c r="A58" s="66" t="s">
        <v>129</v>
      </c>
      <c r="B58" s="66">
        <v>-7.32</v>
      </c>
      <c r="C58" s="66">
        <v>-20.568000000000001</v>
      </c>
    </row>
    <row r="59" spans="1:3" x14ac:dyDescent="0.25">
      <c r="A59" s="66" t="s">
        <v>119</v>
      </c>
      <c r="B59" s="66">
        <v>-14.544</v>
      </c>
      <c r="C59" s="66">
        <v>-18.059999999999999</v>
      </c>
    </row>
    <row r="60" spans="1:3" x14ac:dyDescent="0.25">
      <c r="A60" s="66" t="s">
        <v>115</v>
      </c>
      <c r="B60" s="66">
        <v>-972.4</v>
      </c>
      <c r="C60" s="66">
        <v>213.5</v>
      </c>
    </row>
    <row r="61" spans="1:3" x14ac:dyDescent="0.25">
      <c r="A61" s="66" t="s">
        <v>121</v>
      </c>
      <c r="B61" s="66">
        <v>-4.944</v>
      </c>
      <c r="C61" s="66">
        <v>-25.367999999999999</v>
      </c>
    </row>
    <row r="62" spans="1:3" x14ac:dyDescent="0.25">
      <c r="A62" s="66" t="s">
        <v>113</v>
      </c>
      <c r="B62" s="66">
        <v>-627.12</v>
      </c>
      <c r="C62" s="66">
        <v>0</v>
      </c>
    </row>
    <row r="63" spans="1:3" x14ac:dyDescent="0.25">
      <c r="A63" s="66" t="s">
        <v>168</v>
      </c>
      <c r="B63" s="66">
        <v>-50</v>
      </c>
      <c r="C63" s="66">
        <v>0</v>
      </c>
    </row>
    <row r="64" spans="1:3" x14ac:dyDescent="0.25">
      <c r="A64" s="66" t="s">
        <v>120</v>
      </c>
      <c r="B64" s="66">
        <v>-297.39600000000002</v>
      </c>
      <c r="C64" s="66">
        <v>0</v>
      </c>
    </row>
    <row r="65" spans="1:3" x14ac:dyDescent="0.25">
      <c r="A65" s="66" t="s">
        <v>161</v>
      </c>
      <c r="B65" s="66">
        <v>-42.384</v>
      </c>
      <c r="C65" s="66">
        <v>-201.63</v>
      </c>
    </row>
    <row r="66" spans="1:3" x14ac:dyDescent="0.25">
      <c r="A66" s="66" t="s">
        <v>160</v>
      </c>
      <c r="B66" s="66">
        <v>-165.11</v>
      </c>
      <c r="C66" s="66">
        <v>-4.2960000000000003</v>
      </c>
    </row>
    <row r="67" spans="1:3" x14ac:dyDescent="0.25">
      <c r="A67" s="66" t="s">
        <v>159</v>
      </c>
      <c r="B67" s="66">
        <v>-2.3540000000000001</v>
      </c>
      <c r="C67" s="66">
        <v>-0.25</v>
      </c>
    </row>
    <row r="68" spans="1:3" x14ac:dyDescent="0.25">
      <c r="A68" s="66" t="s">
        <v>158</v>
      </c>
      <c r="B68" s="66">
        <v>-3.355</v>
      </c>
      <c r="C68" s="66">
        <v>-2.4089999999999998</v>
      </c>
    </row>
    <row r="69" spans="1:3" x14ac:dyDescent="0.25">
      <c r="A69" s="66" t="s">
        <v>162</v>
      </c>
      <c r="B69" s="66">
        <v>-8.3333300000000001</v>
      </c>
      <c r="C69" s="66">
        <v>5</v>
      </c>
    </row>
    <row r="70" spans="1:3" x14ac:dyDescent="0.25">
      <c r="A70" s="66" t="s">
        <v>83</v>
      </c>
      <c r="B70" s="66">
        <v>7.38</v>
      </c>
      <c r="C70" s="66">
        <v>-24.97</v>
      </c>
    </row>
    <row r="71" spans="1:3" x14ac:dyDescent="0.25">
      <c r="A71" s="66" t="s">
        <v>84</v>
      </c>
      <c r="B71" s="66">
        <v>-5.3999000000000006</v>
      </c>
      <c r="C71" s="66">
        <v>-5.2778</v>
      </c>
    </row>
    <row r="72" spans="1:3" x14ac:dyDescent="0.25">
      <c r="A72" s="66" t="s">
        <v>85</v>
      </c>
      <c r="B72" s="66">
        <v>-74.965000000000003</v>
      </c>
      <c r="C72" s="66">
        <v>-148.98400000000001</v>
      </c>
    </row>
    <row r="73" spans="1:3" x14ac:dyDescent="0.25">
      <c r="A73" s="66" t="s">
        <v>86</v>
      </c>
      <c r="B73" s="66">
        <v>-6.1589000000000009</v>
      </c>
      <c r="C73" s="66">
        <v>-9.6899000000000015</v>
      </c>
    </row>
    <row r="74" spans="1:3" x14ac:dyDescent="0.25">
      <c r="A74" s="66" t="s">
        <v>87</v>
      </c>
      <c r="B74" s="66">
        <v>-3.1592000000000002</v>
      </c>
      <c r="C74" s="66">
        <v>-6.2777000000000003</v>
      </c>
    </row>
    <row r="75" spans="1:3" x14ac:dyDescent="0.25">
      <c r="A75" s="66" t="s">
        <v>88</v>
      </c>
      <c r="B75" s="66">
        <v>-18.809999999999999</v>
      </c>
      <c r="C75" s="66">
        <v>-17.16</v>
      </c>
    </row>
    <row r="76" spans="1:3" x14ac:dyDescent="0.25">
      <c r="A76" s="66" t="s">
        <v>89</v>
      </c>
      <c r="B76" s="66">
        <v>-2.1164000000000001</v>
      </c>
      <c r="C76" s="66">
        <v>-37.634300000000003</v>
      </c>
    </row>
    <row r="77" spans="1:3" x14ac:dyDescent="0.25">
      <c r="A77" s="66" t="s">
        <v>90</v>
      </c>
      <c r="B77" s="66">
        <v>-1.9646000000000001</v>
      </c>
      <c r="C77" s="66">
        <v>-3.9049999999999998</v>
      </c>
    </row>
    <row r="78" spans="1:3" x14ac:dyDescent="0.25">
      <c r="A78" s="66" t="s">
        <v>91</v>
      </c>
      <c r="B78" s="66">
        <v>18.360899999999997</v>
      </c>
      <c r="C78" s="66">
        <v>-32.381799999999998</v>
      </c>
    </row>
    <row r="79" spans="1:3" x14ac:dyDescent="0.25">
      <c r="A79" s="66" t="s">
        <v>92</v>
      </c>
      <c r="B79" s="66">
        <v>-10.35</v>
      </c>
      <c r="C79" s="66">
        <v>-30.75</v>
      </c>
    </row>
    <row r="80" spans="1:3" x14ac:dyDescent="0.25">
      <c r="A80" s="66" t="s">
        <v>93</v>
      </c>
      <c r="B80" s="66">
        <v>-7.2467999999999995</v>
      </c>
      <c r="C80" s="66">
        <v>-14.257100000000003</v>
      </c>
    </row>
    <row r="81" spans="1:3" x14ac:dyDescent="0.25">
      <c r="A81" s="66" t="s">
        <v>94</v>
      </c>
      <c r="B81" s="66">
        <v>-28.521900000000006</v>
      </c>
      <c r="C81" s="66">
        <v>-25.727900000000002</v>
      </c>
    </row>
    <row r="82" spans="1:3" x14ac:dyDescent="0.25">
      <c r="A82" s="66" t="s">
        <v>95</v>
      </c>
      <c r="B82" s="66">
        <v>19.071000000000002</v>
      </c>
      <c r="C82" s="66">
        <v>-86.724000000000004</v>
      </c>
    </row>
    <row r="83" spans="1:3" x14ac:dyDescent="0.25">
      <c r="A83" s="66" t="s">
        <v>96</v>
      </c>
      <c r="B83" s="66">
        <v>3.4649999999999999</v>
      </c>
      <c r="C83" s="66">
        <v>-19.459000000000003</v>
      </c>
    </row>
    <row r="84" spans="1:3" x14ac:dyDescent="0.25">
      <c r="A84" s="66" t="s">
        <v>431</v>
      </c>
      <c r="B84" s="66">
        <v>6.3E-2</v>
      </c>
      <c r="C84" s="66">
        <v>-0.82499999999999996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84"/>
  <sheetViews>
    <sheetView topLeftCell="A52" workbookViewId="0">
      <selection activeCell="K68" sqref="K68"/>
    </sheetView>
  </sheetViews>
  <sheetFormatPr defaultRowHeight="15" x14ac:dyDescent="0.25"/>
  <cols>
    <col min="1" max="1" width="17.28515625" bestFit="1" customWidth="1"/>
    <col min="2" max="2" width="16.140625" bestFit="1" customWidth="1"/>
    <col min="3" max="3" width="16.7109375" bestFit="1" customWidth="1"/>
  </cols>
  <sheetData>
    <row r="1" spans="1:3" x14ac:dyDescent="0.25">
      <c r="A1" s="19" t="s">
        <v>176</v>
      </c>
      <c r="B1" s="19" t="s">
        <v>171</v>
      </c>
      <c r="C1" s="19" t="s">
        <v>172</v>
      </c>
    </row>
    <row r="2" spans="1:3" x14ac:dyDescent="0.25">
      <c r="A2" s="6" t="s">
        <v>143</v>
      </c>
      <c r="B2" s="6">
        <v>-2.1890000000000001</v>
      </c>
      <c r="C2" s="6">
        <v>-0.79199999999999993</v>
      </c>
    </row>
    <row r="3" spans="1:3" x14ac:dyDescent="0.25">
      <c r="A3" s="6" t="s">
        <v>149</v>
      </c>
      <c r="B3" s="6">
        <v>0.41400000000000003</v>
      </c>
      <c r="C3" s="6">
        <v>-2.9369999999999998</v>
      </c>
    </row>
    <row r="4" spans="1:3" x14ac:dyDescent="0.25">
      <c r="A4" s="6" t="s">
        <v>147</v>
      </c>
      <c r="B4" s="6">
        <v>-0.84699999999999998</v>
      </c>
      <c r="C4" s="6">
        <v>-1.694</v>
      </c>
    </row>
    <row r="5" spans="1:3" x14ac:dyDescent="0.25">
      <c r="A5" s="6" t="s">
        <v>141</v>
      </c>
      <c r="B5" s="6">
        <v>-2.1779999999999999</v>
      </c>
      <c r="C5" s="6">
        <v>-1.2429999999999999</v>
      </c>
    </row>
    <row r="6" spans="1:3" x14ac:dyDescent="0.25">
      <c r="A6" s="6" t="s">
        <v>142</v>
      </c>
      <c r="B6" s="6">
        <v>-2.7829999999999999</v>
      </c>
      <c r="C6" s="6">
        <v>-1.65</v>
      </c>
    </row>
    <row r="7" spans="1:3" x14ac:dyDescent="0.25">
      <c r="A7" s="6" t="s">
        <v>153</v>
      </c>
      <c r="B7" s="6">
        <v>-2.6070000000000002</v>
      </c>
      <c r="C7" s="6">
        <v>-1.8479999999999999</v>
      </c>
    </row>
    <row r="8" spans="1:3" x14ac:dyDescent="0.25">
      <c r="A8" s="6" t="s">
        <v>148</v>
      </c>
      <c r="B8" s="6">
        <v>0.75600000000000001</v>
      </c>
      <c r="C8" s="6">
        <v>-3.6850000000000001</v>
      </c>
    </row>
    <row r="9" spans="1:3" x14ac:dyDescent="0.25">
      <c r="A9" s="6" t="s">
        <v>144</v>
      </c>
      <c r="B9" s="6">
        <v>-0.27500000000000002</v>
      </c>
      <c r="C9" s="6">
        <v>-2.4200000000000004</v>
      </c>
    </row>
    <row r="10" spans="1:3" x14ac:dyDescent="0.25">
      <c r="A10" s="6" t="s">
        <v>105</v>
      </c>
      <c r="B10" s="6">
        <v>7.1999999999999995E-2</v>
      </c>
      <c r="C10" s="6">
        <v>-1.8039999999999998</v>
      </c>
    </row>
    <row r="11" spans="1:3" x14ac:dyDescent="0.25">
      <c r="A11" s="6" t="s">
        <v>140</v>
      </c>
      <c r="B11" s="6">
        <v>-4.2789999999999999</v>
      </c>
      <c r="C11" s="6">
        <v>0.53099999999999992</v>
      </c>
    </row>
    <row r="12" spans="1:3" x14ac:dyDescent="0.25">
      <c r="A12" s="6" t="s">
        <v>166</v>
      </c>
      <c r="B12" s="6">
        <v>-10.043000000000001</v>
      </c>
      <c r="C12" s="6">
        <v>-2.794</v>
      </c>
    </row>
    <row r="13" spans="1:3" x14ac:dyDescent="0.25">
      <c r="A13" s="6" t="s">
        <v>145</v>
      </c>
      <c r="B13" s="6">
        <v>-5.258</v>
      </c>
      <c r="C13" s="6">
        <v>0.26999999999999996</v>
      </c>
    </row>
    <row r="14" spans="1:3" x14ac:dyDescent="0.25">
      <c r="A14" s="6" t="s">
        <v>150</v>
      </c>
      <c r="B14" s="6">
        <v>-6.05</v>
      </c>
      <c r="C14" s="6">
        <v>0.93600000000000005</v>
      </c>
    </row>
    <row r="15" spans="1:3" x14ac:dyDescent="0.25">
      <c r="A15" s="6" t="s">
        <v>146</v>
      </c>
      <c r="B15" s="6">
        <v>-0.82499999999999996</v>
      </c>
      <c r="C15" s="6">
        <v>-2.6070000000000002</v>
      </c>
    </row>
    <row r="16" spans="1:3" x14ac:dyDescent="0.25">
      <c r="A16" s="6" t="s">
        <v>122</v>
      </c>
      <c r="B16" s="6">
        <v>-3.9710000000000001</v>
      </c>
      <c r="C16" s="6">
        <v>-0.42899999999999999</v>
      </c>
    </row>
    <row r="17" spans="1:3" x14ac:dyDescent="0.25">
      <c r="A17" s="6" t="s">
        <v>126</v>
      </c>
      <c r="B17" s="6">
        <v>-3.63</v>
      </c>
      <c r="C17" s="6">
        <v>-0.19799999999999998</v>
      </c>
    </row>
    <row r="18" spans="1:3" x14ac:dyDescent="0.25">
      <c r="A18" s="6" t="s">
        <v>128</v>
      </c>
      <c r="B18" s="6">
        <v>-6.5119999999999996</v>
      </c>
      <c r="C18" s="6">
        <v>0.63900000000000001</v>
      </c>
    </row>
    <row r="19" spans="1:3" x14ac:dyDescent="0.25">
      <c r="A19" s="6" t="s">
        <v>130</v>
      </c>
      <c r="B19" s="6">
        <v>-7.4140000000000006</v>
      </c>
      <c r="C19" s="6">
        <v>0.16200000000000001</v>
      </c>
    </row>
    <row r="20" spans="1:3" x14ac:dyDescent="0.25">
      <c r="A20" s="6" t="s">
        <v>127</v>
      </c>
      <c r="B20" s="6">
        <v>-5.3879999999999999</v>
      </c>
      <c r="C20" s="6">
        <v>0.504</v>
      </c>
    </row>
    <row r="21" spans="1:3" x14ac:dyDescent="0.25">
      <c r="A21" s="6" t="s">
        <v>134</v>
      </c>
      <c r="B21" s="6">
        <v>-3.883</v>
      </c>
      <c r="C21" s="6">
        <v>-4.95</v>
      </c>
    </row>
    <row r="22" spans="1:3" x14ac:dyDescent="0.25">
      <c r="A22" s="6" t="s">
        <v>135</v>
      </c>
      <c r="B22" s="6">
        <v>-4.8620000000000001</v>
      </c>
      <c r="C22" s="6">
        <v>-3.3439999999999999</v>
      </c>
    </row>
    <row r="23" spans="1:3" x14ac:dyDescent="0.25">
      <c r="A23" s="6" t="s">
        <v>136</v>
      </c>
      <c r="B23" s="6">
        <v>0.33300000000000002</v>
      </c>
      <c r="C23" s="6">
        <v>-6.8310000000000004</v>
      </c>
    </row>
    <row r="24" spans="1:3" x14ac:dyDescent="0.25">
      <c r="A24" s="6" t="s">
        <v>139</v>
      </c>
      <c r="B24" s="6">
        <v>-2.31</v>
      </c>
      <c r="C24" s="6">
        <v>-4.7080000000000002</v>
      </c>
    </row>
    <row r="25" spans="1:3" x14ac:dyDescent="0.25">
      <c r="A25" s="6" t="s">
        <v>138</v>
      </c>
      <c r="B25" s="6">
        <v>-5.6040000000000001</v>
      </c>
      <c r="C25" s="6">
        <v>-5.0640000000000001</v>
      </c>
    </row>
    <row r="26" spans="1:3" x14ac:dyDescent="0.25">
      <c r="A26" s="6" t="s">
        <v>137</v>
      </c>
      <c r="B26" s="6">
        <v>-4.2789999999999999</v>
      </c>
      <c r="C26" s="6">
        <v>-3.355</v>
      </c>
    </row>
    <row r="27" spans="1:3" x14ac:dyDescent="0.25">
      <c r="A27" s="6" t="s">
        <v>133</v>
      </c>
      <c r="B27" s="6">
        <v>-3.8279999999999998</v>
      </c>
      <c r="C27" s="6">
        <v>-3.1019999999999999</v>
      </c>
    </row>
    <row r="28" spans="1:3" x14ac:dyDescent="0.25">
      <c r="A28" s="6" t="s">
        <v>154</v>
      </c>
      <c r="B28" s="6">
        <v>-1.595</v>
      </c>
      <c r="C28" s="6">
        <v>-1.089</v>
      </c>
    </row>
    <row r="29" spans="1:3" x14ac:dyDescent="0.25">
      <c r="A29" s="6" t="s">
        <v>155</v>
      </c>
      <c r="B29" s="6">
        <v>0.54899999999999993</v>
      </c>
      <c r="C29" s="6">
        <v>-3.0140000000000002</v>
      </c>
    </row>
    <row r="30" spans="1:3" x14ac:dyDescent="0.25">
      <c r="A30" s="6" t="s">
        <v>156</v>
      </c>
      <c r="B30" s="6">
        <v>-0.45099999999999996</v>
      </c>
      <c r="C30" s="6">
        <v>-1.8259999999999998</v>
      </c>
    </row>
    <row r="31" spans="1:3" x14ac:dyDescent="0.25">
      <c r="A31" s="6" t="s">
        <v>151</v>
      </c>
      <c r="B31" s="6">
        <v>-2.3320000000000003</v>
      </c>
      <c r="C31" s="6">
        <v>-1.9359999999999999</v>
      </c>
    </row>
    <row r="32" spans="1:3" x14ac:dyDescent="0.25">
      <c r="A32" s="6" t="s">
        <v>152</v>
      </c>
      <c r="B32" s="6">
        <v>-1.8260000000000001</v>
      </c>
      <c r="C32" s="6">
        <v>-1.2</v>
      </c>
    </row>
    <row r="33" spans="1:3" x14ac:dyDescent="0.25">
      <c r="A33" s="6" t="s">
        <v>157</v>
      </c>
      <c r="B33" s="6">
        <v>-0.73199999999999998</v>
      </c>
      <c r="C33" s="6">
        <v>-3.2280000000000002</v>
      </c>
    </row>
    <row r="34" spans="1:3" x14ac:dyDescent="0.25">
      <c r="A34" s="6" t="s">
        <v>131</v>
      </c>
      <c r="B34" s="6">
        <v>-2.508</v>
      </c>
      <c r="C34" s="6">
        <v>-2.4119999999999999</v>
      </c>
    </row>
    <row r="35" spans="1:3" x14ac:dyDescent="0.25">
      <c r="A35" s="6" t="s">
        <v>124</v>
      </c>
      <c r="B35" s="6">
        <v>0.43</v>
      </c>
      <c r="C35" s="6">
        <v>-5.15</v>
      </c>
    </row>
    <row r="36" spans="1:3" x14ac:dyDescent="0.25">
      <c r="A36" s="6" t="s">
        <v>132</v>
      </c>
      <c r="B36" s="6">
        <v>-1.3080000000000001</v>
      </c>
      <c r="C36" s="6">
        <v>-3.7680000000000002</v>
      </c>
    </row>
    <row r="37" spans="1:3" x14ac:dyDescent="0.25">
      <c r="A37" s="6" t="s">
        <v>125</v>
      </c>
      <c r="B37" s="6">
        <v>-3.78</v>
      </c>
      <c r="C37" s="6">
        <v>-2.82</v>
      </c>
    </row>
    <row r="38" spans="1:3" x14ac:dyDescent="0.25">
      <c r="A38" s="6" t="s">
        <v>103</v>
      </c>
      <c r="B38" s="6">
        <v>-10.98</v>
      </c>
      <c r="C38" s="6">
        <v>-14.95</v>
      </c>
    </row>
    <row r="39" spans="1:3" x14ac:dyDescent="0.25">
      <c r="A39" s="6" t="s">
        <v>110</v>
      </c>
      <c r="B39" s="6">
        <v>-37.74</v>
      </c>
      <c r="C39" s="6">
        <v>5.7359999999999998</v>
      </c>
    </row>
    <row r="40" spans="1:3" x14ac:dyDescent="0.25">
      <c r="A40" s="6" t="s">
        <v>114</v>
      </c>
      <c r="B40" s="6">
        <v>-588.24</v>
      </c>
      <c r="C40" s="6">
        <v>-50.49</v>
      </c>
    </row>
    <row r="41" spans="1:3" x14ac:dyDescent="0.25">
      <c r="A41" s="6" t="s">
        <v>108</v>
      </c>
      <c r="B41" s="6">
        <v>-36.372</v>
      </c>
      <c r="C41" s="6">
        <v>1.752</v>
      </c>
    </row>
    <row r="42" spans="1:3" x14ac:dyDescent="0.25">
      <c r="A42" s="6" t="s">
        <v>107</v>
      </c>
      <c r="B42" s="6">
        <v>-31.68</v>
      </c>
      <c r="C42" s="6">
        <v>-10.272</v>
      </c>
    </row>
    <row r="43" spans="1:3" x14ac:dyDescent="0.25">
      <c r="A43" s="6" t="s">
        <v>104</v>
      </c>
      <c r="B43" s="6">
        <v>-33.323999999999998</v>
      </c>
      <c r="C43" s="6">
        <v>-8.25</v>
      </c>
    </row>
    <row r="44" spans="1:3" x14ac:dyDescent="0.25">
      <c r="A44" s="6" t="s">
        <v>111</v>
      </c>
      <c r="B44" s="6">
        <v>-776.37599999999998</v>
      </c>
      <c r="C44" s="6">
        <v>0</v>
      </c>
    </row>
    <row r="45" spans="1:3" x14ac:dyDescent="0.25">
      <c r="A45" s="6" t="s">
        <v>109</v>
      </c>
      <c r="B45" s="6">
        <v>-64.084000000000003</v>
      </c>
      <c r="C45" s="6">
        <v>-26.315999999999999</v>
      </c>
    </row>
    <row r="46" spans="1:3" x14ac:dyDescent="0.25">
      <c r="A46" s="6" t="s">
        <v>106</v>
      </c>
      <c r="B46" s="6">
        <v>-24.64</v>
      </c>
      <c r="C46" s="6">
        <v>-27.29</v>
      </c>
    </row>
    <row r="47" spans="1:3" x14ac:dyDescent="0.25">
      <c r="A47" s="6" t="s">
        <v>100</v>
      </c>
      <c r="B47" s="6">
        <v>-15.6</v>
      </c>
      <c r="C47" s="6">
        <v>-15</v>
      </c>
    </row>
    <row r="48" spans="1:3" x14ac:dyDescent="0.25">
      <c r="A48" s="6" t="s">
        <v>98</v>
      </c>
      <c r="B48" s="6">
        <v>-0.108</v>
      </c>
      <c r="C48" s="6">
        <v>-1.452</v>
      </c>
    </row>
    <row r="49" spans="1:3" x14ac:dyDescent="0.25">
      <c r="A49" s="6" t="s">
        <v>97</v>
      </c>
      <c r="B49" s="6">
        <v>-0.108</v>
      </c>
      <c r="C49" s="6">
        <v>-1.925</v>
      </c>
    </row>
    <row r="50" spans="1:3" x14ac:dyDescent="0.25">
      <c r="A50" s="6" t="s">
        <v>99</v>
      </c>
      <c r="B50" s="6">
        <v>-0.54</v>
      </c>
      <c r="C50" s="6">
        <v>-1.595</v>
      </c>
    </row>
    <row r="51" spans="1:3" x14ac:dyDescent="0.25">
      <c r="A51" s="6" t="s">
        <v>102</v>
      </c>
      <c r="B51" s="6">
        <v>-1.524</v>
      </c>
      <c r="C51" s="6">
        <v>-8.6020000000000003</v>
      </c>
    </row>
    <row r="52" spans="1:3" x14ac:dyDescent="0.25">
      <c r="A52" s="6" t="s">
        <v>101</v>
      </c>
      <c r="B52" s="6">
        <v>-0.26400000000000001</v>
      </c>
      <c r="C52" s="6">
        <v>-0.216</v>
      </c>
    </row>
    <row r="53" spans="1:3" x14ac:dyDescent="0.25">
      <c r="A53" s="6" t="s">
        <v>123</v>
      </c>
      <c r="B53" s="6">
        <v>-134.4</v>
      </c>
      <c r="C53" s="6">
        <v>27.111999999999998</v>
      </c>
    </row>
    <row r="54" spans="1:3" x14ac:dyDescent="0.25">
      <c r="A54" s="6" t="s">
        <v>116</v>
      </c>
      <c r="B54" s="6">
        <v>3.8759999999999999</v>
      </c>
      <c r="C54" s="6">
        <v>-20.628</v>
      </c>
    </row>
    <row r="55" spans="1:3" x14ac:dyDescent="0.25">
      <c r="A55" s="6" t="s">
        <v>117</v>
      </c>
      <c r="B55" s="6">
        <v>0.80400000000000005</v>
      </c>
      <c r="C55" s="6">
        <v>-4.524</v>
      </c>
    </row>
    <row r="56" spans="1:3" x14ac:dyDescent="0.25">
      <c r="A56" s="6" t="s">
        <v>118</v>
      </c>
      <c r="B56" s="6">
        <v>-10.992000000000001</v>
      </c>
      <c r="C56" s="6">
        <v>-5.8440000000000003</v>
      </c>
    </row>
    <row r="57" spans="1:3" x14ac:dyDescent="0.25">
      <c r="A57" s="6" t="s">
        <v>112</v>
      </c>
      <c r="B57" s="6">
        <v>-444.14400000000001</v>
      </c>
      <c r="C57" s="6">
        <v>0</v>
      </c>
    </row>
    <row r="58" spans="1:3" x14ac:dyDescent="0.25">
      <c r="A58" s="6" t="s">
        <v>129</v>
      </c>
      <c r="B58" s="6">
        <v>-7.32</v>
      </c>
      <c r="C58" s="6">
        <v>-20.568000000000001</v>
      </c>
    </row>
    <row r="59" spans="1:3" x14ac:dyDescent="0.25">
      <c r="A59" s="6" t="s">
        <v>119</v>
      </c>
      <c r="B59" s="6">
        <v>-14.544</v>
      </c>
      <c r="C59" s="6">
        <v>-18.059999999999999</v>
      </c>
    </row>
    <row r="60" spans="1:3" x14ac:dyDescent="0.25">
      <c r="A60" s="6" t="s">
        <v>115</v>
      </c>
      <c r="B60" s="6">
        <v>-972.4</v>
      </c>
      <c r="C60" s="6">
        <v>213.5</v>
      </c>
    </row>
    <row r="61" spans="1:3" x14ac:dyDescent="0.25">
      <c r="A61" s="6" t="s">
        <v>121</v>
      </c>
      <c r="B61" s="6">
        <v>-4.944</v>
      </c>
      <c r="C61" s="6">
        <v>-25.367999999999999</v>
      </c>
    </row>
    <row r="62" spans="1:3" x14ac:dyDescent="0.25">
      <c r="A62" s="6" t="s">
        <v>113</v>
      </c>
      <c r="B62" s="6">
        <v>-627.12</v>
      </c>
      <c r="C62" s="6">
        <v>0</v>
      </c>
    </row>
    <row r="63" spans="1:3" x14ac:dyDescent="0.25">
      <c r="A63" s="6" t="s">
        <v>168</v>
      </c>
      <c r="B63" s="6">
        <v>-50</v>
      </c>
      <c r="C63" s="6">
        <v>0</v>
      </c>
    </row>
    <row r="64" spans="1:3" x14ac:dyDescent="0.25">
      <c r="A64" s="6" t="s">
        <v>120</v>
      </c>
      <c r="B64" s="6">
        <v>-297.39600000000002</v>
      </c>
      <c r="C64" s="6">
        <v>0</v>
      </c>
    </row>
    <row r="65" spans="1:3" x14ac:dyDescent="0.25">
      <c r="A65" s="6" t="s">
        <v>161</v>
      </c>
      <c r="B65" s="6">
        <v>-42.384</v>
      </c>
      <c r="C65" s="6">
        <v>-201.63</v>
      </c>
    </row>
    <row r="66" spans="1:3" x14ac:dyDescent="0.25">
      <c r="A66" s="6" t="s">
        <v>160</v>
      </c>
      <c r="B66" s="6">
        <v>-165.11</v>
      </c>
      <c r="C66" s="6">
        <v>-4.2960000000000003</v>
      </c>
    </row>
    <row r="67" spans="1:3" x14ac:dyDescent="0.25">
      <c r="A67" s="6" t="s">
        <v>159</v>
      </c>
      <c r="B67" s="6">
        <v>-2.3540000000000001</v>
      </c>
      <c r="C67" s="6">
        <v>-0.25</v>
      </c>
    </row>
    <row r="68" spans="1:3" x14ac:dyDescent="0.25">
      <c r="A68" s="6" t="s">
        <v>158</v>
      </c>
      <c r="B68" s="6">
        <v>-3.355</v>
      </c>
      <c r="C68" s="6">
        <v>-2.4089999999999998</v>
      </c>
    </row>
    <row r="69" spans="1:3" x14ac:dyDescent="0.25">
      <c r="A69" s="6" t="s">
        <v>162</v>
      </c>
      <c r="B69" s="6">
        <v>-8.3333300000000001</v>
      </c>
      <c r="C69" s="6">
        <v>5</v>
      </c>
    </row>
    <row r="70" spans="1:3" x14ac:dyDescent="0.25">
      <c r="A70" s="6" t="s">
        <v>83</v>
      </c>
      <c r="B70" s="6">
        <v>7.38</v>
      </c>
      <c r="C70" s="6">
        <v>-24.97</v>
      </c>
    </row>
    <row r="71" spans="1:3" x14ac:dyDescent="0.25">
      <c r="A71" s="6" t="s">
        <v>84</v>
      </c>
      <c r="B71" s="6">
        <v>-5.3999000000000006</v>
      </c>
      <c r="C71" s="6">
        <v>-5.2778</v>
      </c>
    </row>
    <row r="72" spans="1:3" x14ac:dyDescent="0.25">
      <c r="A72" s="6" t="s">
        <v>85</v>
      </c>
      <c r="B72" s="6">
        <v>-74.965000000000003</v>
      </c>
      <c r="C72" s="6">
        <v>-148.98400000000001</v>
      </c>
    </row>
    <row r="73" spans="1:3" x14ac:dyDescent="0.25">
      <c r="A73" s="6" t="s">
        <v>86</v>
      </c>
      <c r="B73" s="6">
        <v>-6.1589000000000009</v>
      </c>
      <c r="C73" s="6">
        <v>-9.6899000000000015</v>
      </c>
    </row>
    <row r="74" spans="1:3" x14ac:dyDescent="0.25">
      <c r="A74" s="6" t="s">
        <v>87</v>
      </c>
      <c r="B74" s="6">
        <v>-3.1592000000000002</v>
      </c>
      <c r="C74" s="6">
        <v>-6.2777000000000003</v>
      </c>
    </row>
    <row r="75" spans="1:3" x14ac:dyDescent="0.25">
      <c r="A75" s="6" t="s">
        <v>88</v>
      </c>
      <c r="B75" s="6">
        <v>-18.809999999999999</v>
      </c>
      <c r="C75" s="6">
        <v>-17.16</v>
      </c>
    </row>
    <row r="76" spans="1:3" x14ac:dyDescent="0.25">
      <c r="A76" s="6" t="s">
        <v>89</v>
      </c>
      <c r="B76" s="6">
        <v>-2.1164000000000001</v>
      </c>
      <c r="C76" s="6">
        <v>-37.634300000000003</v>
      </c>
    </row>
    <row r="77" spans="1:3" x14ac:dyDescent="0.25">
      <c r="A77" s="6" t="s">
        <v>90</v>
      </c>
      <c r="B77" s="6">
        <v>-1.9646000000000001</v>
      </c>
      <c r="C77" s="6">
        <v>-3.9049999999999998</v>
      </c>
    </row>
    <row r="78" spans="1:3" x14ac:dyDescent="0.25">
      <c r="A78" s="6" t="s">
        <v>91</v>
      </c>
      <c r="B78" s="6">
        <v>18.360899999999997</v>
      </c>
      <c r="C78" s="6">
        <v>-32.381799999999998</v>
      </c>
    </row>
    <row r="79" spans="1:3" x14ac:dyDescent="0.25">
      <c r="A79" s="6" t="s">
        <v>92</v>
      </c>
      <c r="B79" s="6">
        <v>-10.35</v>
      </c>
      <c r="C79" s="6">
        <v>-30.75</v>
      </c>
    </row>
    <row r="80" spans="1:3" x14ac:dyDescent="0.25">
      <c r="A80" s="6" t="s">
        <v>93</v>
      </c>
      <c r="B80" s="6">
        <v>-7.2467999999999995</v>
      </c>
      <c r="C80" s="6">
        <v>-14.257100000000003</v>
      </c>
    </row>
    <row r="81" spans="1:3" x14ac:dyDescent="0.25">
      <c r="A81" s="6" t="s">
        <v>94</v>
      </c>
      <c r="B81" s="6">
        <v>-28.521900000000006</v>
      </c>
      <c r="C81" s="6">
        <v>-25.727900000000002</v>
      </c>
    </row>
    <row r="82" spans="1:3" x14ac:dyDescent="0.25">
      <c r="A82" s="6" t="s">
        <v>95</v>
      </c>
      <c r="B82" s="6">
        <v>19.071000000000002</v>
      </c>
      <c r="C82" s="6">
        <v>-86.724000000000004</v>
      </c>
    </row>
    <row r="83" spans="1:3" x14ac:dyDescent="0.25">
      <c r="A83" s="6" t="s">
        <v>96</v>
      </c>
      <c r="B83" s="6">
        <v>3.4649999999999999</v>
      </c>
      <c r="C83" s="6">
        <v>-19.459000000000003</v>
      </c>
    </row>
    <row r="84" spans="1:3" x14ac:dyDescent="0.25">
      <c r="A84" s="6" t="s">
        <v>431</v>
      </c>
      <c r="B84" s="6">
        <v>6.3E-2</v>
      </c>
      <c r="C84" s="6">
        <v>-0.82499999999999996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C6"/>
  <sheetViews>
    <sheetView workbookViewId="0">
      <selection activeCell="O14" sqref="O14"/>
    </sheetView>
  </sheetViews>
  <sheetFormatPr defaultRowHeight="15" x14ac:dyDescent="0.25"/>
  <cols>
    <col min="1" max="1" width="12.140625" bestFit="1" customWidth="1"/>
    <col min="2" max="2" width="11.140625" bestFit="1" customWidth="1"/>
    <col min="3" max="3" width="11.7109375" bestFit="1" customWidth="1"/>
  </cols>
  <sheetData>
    <row r="1" spans="1:3" x14ac:dyDescent="0.25">
      <c r="A1" s="5" t="s">
        <v>0</v>
      </c>
      <c r="B1" s="5" t="s">
        <v>81</v>
      </c>
      <c r="C1" s="5" t="s">
        <v>82</v>
      </c>
    </row>
    <row r="2" spans="1:3" x14ac:dyDescent="0.25">
      <c r="A2" s="13"/>
      <c r="B2" s="14"/>
      <c r="C2" s="14"/>
    </row>
    <row r="3" spans="1:3" x14ac:dyDescent="0.25">
      <c r="A3" s="13"/>
      <c r="B3" s="14"/>
      <c r="C3" s="14"/>
    </row>
    <row r="4" spans="1:3" x14ac:dyDescent="0.25">
      <c r="A4" s="15"/>
      <c r="B4" s="14"/>
      <c r="C4" s="14"/>
    </row>
    <row r="5" spans="1:3" x14ac:dyDescent="0.25">
      <c r="A5" s="15"/>
      <c r="B5" s="14"/>
      <c r="C5" s="14"/>
    </row>
    <row r="6" spans="1:3" x14ac:dyDescent="0.25">
      <c r="A6" s="15"/>
      <c r="B6" s="14"/>
      <c r="C6" s="14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84"/>
  <sheetViews>
    <sheetView topLeftCell="A46" workbookViewId="0">
      <selection activeCell="H44" sqref="H44"/>
    </sheetView>
  </sheetViews>
  <sheetFormatPr defaultRowHeight="15" x14ac:dyDescent="0.25"/>
  <cols>
    <col min="1" max="1" width="17.28515625" bestFit="1" customWidth="1"/>
    <col min="2" max="2" width="16.140625" bestFit="1" customWidth="1"/>
    <col min="3" max="3" width="16.7109375" bestFit="1" customWidth="1"/>
  </cols>
  <sheetData>
    <row r="1" spans="1:3" x14ac:dyDescent="0.25">
      <c r="A1" s="19" t="s">
        <v>176</v>
      </c>
      <c r="B1" s="19" t="s">
        <v>171</v>
      </c>
      <c r="C1" s="19" t="s">
        <v>172</v>
      </c>
    </row>
    <row r="2" spans="1:3" x14ac:dyDescent="0.25">
      <c r="A2" s="6" t="s">
        <v>143</v>
      </c>
      <c r="B2" s="6">
        <v>-2.1890000000000001</v>
      </c>
      <c r="C2" s="6">
        <v>-0.79199999999999993</v>
      </c>
    </row>
    <row r="3" spans="1:3" x14ac:dyDescent="0.25">
      <c r="A3" s="6" t="s">
        <v>149</v>
      </c>
      <c r="B3" s="6">
        <v>0.41400000000000003</v>
      </c>
      <c r="C3" s="6">
        <v>-2.9369999999999998</v>
      </c>
    </row>
    <row r="4" spans="1:3" x14ac:dyDescent="0.25">
      <c r="A4" s="6" t="s">
        <v>147</v>
      </c>
      <c r="B4" s="6">
        <v>-0.84699999999999998</v>
      </c>
      <c r="C4" s="6">
        <v>-1.694</v>
      </c>
    </row>
    <row r="5" spans="1:3" x14ac:dyDescent="0.25">
      <c r="A5" s="6" t="s">
        <v>141</v>
      </c>
      <c r="B5" s="6">
        <v>-2.1779999999999999</v>
      </c>
      <c r="C5" s="6">
        <v>-1.2429999999999999</v>
      </c>
    </row>
    <row r="6" spans="1:3" x14ac:dyDescent="0.25">
      <c r="A6" s="6" t="s">
        <v>142</v>
      </c>
      <c r="B6" s="6">
        <v>-2.7829999999999999</v>
      </c>
      <c r="C6" s="6">
        <v>-1.65</v>
      </c>
    </row>
    <row r="7" spans="1:3" x14ac:dyDescent="0.25">
      <c r="A7" s="6" t="s">
        <v>153</v>
      </c>
      <c r="B7" s="6">
        <v>-2.6070000000000002</v>
      </c>
      <c r="C7" s="6">
        <v>-1.8479999999999999</v>
      </c>
    </row>
    <row r="8" spans="1:3" x14ac:dyDescent="0.25">
      <c r="A8" s="6" t="s">
        <v>148</v>
      </c>
      <c r="B8" s="6">
        <v>0.75600000000000001</v>
      </c>
      <c r="C8" s="6">
        <v>-3.6850000000000001</v>
      </c>
    </row>
    <row r="9" spans="1:3" x14ac:dyDescent="0.25">
      <c r="A9" s="6" t="s">
        <v>144</v>
      </c>
      <c r="B9" s="6">
        <v>-0.27500000000000002</v>
      </c>
      <c r="C9" s="6">
        <v>-2.4200000000000004</v>
      </c>
    </row>
    <row r="10" spans="1:3" x14ac:dyDescent="0.25">
      <c r="A10" s="6" t="s">
        <v>105</v>
      </c>
      <c r="B10" s="6">
        <v>7.1999999999999995E-2</v>
      </c>
      <c r="C10" s="6">
        <v>-1.8039999999999998</v>
      </c>
    </row>
    <row r="11" spans="1:3" x14ac:dyDescent="0.25">
      <c r="A11" s="6" t="s">
        <v>140</v>
      </c>
      <c r="B11" s="6">
        <v>-4.2789999999999999</v>
      </c>
      <c r="C11" s="6">
        <v>0.53099999999999992</v>
      </c>
    </row>
    <row r="12" spans="1:3" x14ac:dyDescent="0.25">
      <c r="A12" s="6" t="s">
        <v>166</v>
      </c>
      <c r="B12" s="6">
        <v>-10.043000000000001</v>
      </c>
      <c r="C12" s="6">
        <v>-2.794</v>
      </c>
    </row>
    <row r="13" spans="1:3" x14ac:dyDescent="0.25">
      <c r="A13" s="6" t="s">
        <v>145</v>
      </c>
      <c r="B13" s="6">
        <v>-5.258</v>
      </c>
      <c r="C13" s="6">
        <v>0.26999999999999996</v>
      </c>
    </row>
    <row r="14" spans="1:3" x14ac:dyDescent="0.25">
      <c r="A14" s="6" t="s">
        <v>150</v>
      </c>
      <c r="B14" s="6">
        <v>-6.05</v>
      </c>
      <c r="C14" s="6">
        <v>0.93600000000000005</v>
      </c>
    </row>
    <row r="15" spans="1:3" x14ac:dyDescent="0.25">
      <c r="A15" s="6" t="s">
        <v>146</v>
      </c>
      <c r="B15" s="6">
        <v>-0.82499999999999996</v>
      </c>
      <c r="C15" s="6">
        <v>-2.6070000000000002</v>
      </c>
    </row>
    <row r="16" spans="1:3" x14ac:dyDescent="0.25">
      <c r="A16" s="6" t="s">
        <v>122</v>
      </c>
      <c r="B16" s="6">
        <v>-3.9710000000000001</v>
      </c>
      <c r="C16" s="6">
        <v>-0.42899999999999999</v>
      </c>
    </row>
    <row r="17" spans="1:3" x14ac:dyDescent="0.25">
      <c r="A17" s="6" t="s">
        <v>126</v>
      </c>
      <c r="B17" s="6">
        <v>-3.63</v>
      </c>
      <c r="C17" s="6">
        <v>-0.19799999999999998</v>
      </c>
    </row>
    <row r="18" spans="1:3" x14ac:dyDescent="0.25">
      <c r="A18" s="6" t="s">
        <v>128</v>
      </c>
      <c r="B18" s="6">
        <v>-6.5119999999999996</v>
      </c>
      <c r="C18" s="6">
        <v>0.63900000000000001</v>
      </c>
    </row>
    <row r="19" spans="1:3" x14ac:dyDescent="0.25">
      <c r="A19" s="6" t="s">
        <v>130</v>
      </c>
      <c r="B19" s="6">
        <v>-7.4140000000000006</v>
      </c>
      <c r="C19" s="6">
        <v>0.16200000000000001</v>
      </c>
    </row>
    <row r="20" spans="1:3" x14ac:dyDescent="0.25">
      <c r="A20" s="6" t="s">
        <v>127</v>
      </c>
      <c r="B20" s="6">
        <v>-5.3879999999999999</v>
      </c>
      <c r="C20" s="6">
        <v>0.504</v>
      </c>
    </row>
    <row r="21" spans="1:3" x14ac:dyDescent="0.25">
      <c r="A21" s="6" t="s">
        <v>134</v>
      </c>
      <c r="B21" s="6">
        <v>-3.883</v>
      </c>
      <c r="C21" s="6">
        <v>-4.95</v>
      </c>
    </row>
    <row r="22" spans="1:3" x14ac:dyDescent="0.25">
      <c r="A22" s="6" t="s">
        <v>135</v>
      </c>
      <c r="B22" s="6">
        <v>-4.8620000000000001</v>
      </c>
      <c r="C22" s="6">
        <v>-3.3439999999999999</v>
      </c>
    </row>
    <row r="23" spans="1:3" x14ac:dyDescent="0.25">
      <c r="A23" s="6" t="s">
        <v>136</v>
      </c>
      <c r="B23" s="6">
        <v>0.33300000000000002</v>
      </c>
      <c r="C23" s="6">
        <v>-6.8310000000000004</v>
      </c>
    </row>
    <row r="24" spans="1:3" x14ac:dyDescent="0.25">
      <c r="A24" s="6" t="s">
        <v>139</v>
      </c>
      <c r="B24" s="6">
        <v>-2.31</v>
      </c>
      <c r="C24" s="6">
        <v>-4.7080000000000002</v>
      </c>
    </row>
    <row r="25" spans="1:3" x14ac:dyDescent="0.25">
      <c r="A25" s="6" t="s">
        <v>138</v>
      </c>
      <c r="B25" s="6">
        <v>-5.6040000000000001</v>
      </c>
      <c r="C25" s="6">
        <v>-5.0640000000000001</v>
      </c>
    </row>
    <row r="26" spans="1:3" x14ac:dyDescent="0.25">
      <c r="A26" s="6" t="s">
        <v>137</v>
      </c>
      <c r="B26" s="6">
        <v>-4.2789999999999999</v>
      </c>
      <c r="C26" s="6">
        <v>-3.355</v>
      </c>
    </row>
    <row r="27" spans="1:3" x14ac:dyDescent="0.25">
      <c r="A27" s="6" t="s">
        <v>133</v>
      </c>
      <c r="B27" s="6">
        <v>-3.8279999999999998</v>
      </c>
      <c r="C27" s="6">
        <v>-3.1019999999999999</v>
      </c>
    </row>
    <row r="28" spans="1:3" x14ac:dyDescent="0.25">
      <c r="A28" s="6" t="s">
        <v>154</v>
      </c>
      <c r="B28" s="6">
        <v>-1.595</v>
      </c>
      <c r="C28" s="6">
        <v>-1.089</v>
      </c>
    </row>
    <row r="29" spans="1:3" x14ac:dyDescent="0.25">
      <c r="A29" s="6" t="s">
        <v>155</v>
      </c>
      <c r="B29" s="6">
        <v>0.54899999999999993</v>
      </c>
      <c r="C29" s="6">
        <v>-3.0140000000000002</v>
      </c>
    </row>
    <row r="30" spans="1:3" x14ac:dyDescent="0.25">
      <c r="A30" s="6" t="s">
        <v>156</v>
      </c>
      <c r="B30" s="6">
        <v>-0.45099999999999996</v>
      </c>
      <c r="C30" s="6">
        <v>-1.8259999999999998</v>
      </c>
    </row>
    <row r="31" spans="1:3" x14ac:dyDescent="0.25">
      <c r="A31" s="6" t="s">
        <v>151</v>
      </c>
      <c r="B31" s="6">
        <v>-2.3320000000000003</v>
      </c>
      <c r="C31" s="6">
        <v>-1.9359999999999999</v>
      </c>
    </row>
    <row r="32" spans="1:3" x14ac:dyDescent="0.25">
      <c r="A32" s="6" t="s">
        <v>152</v>
      </c>
      <c r="B32" s="6">
        <v>-1.8260000000000001</v>
      </c>
      <c r="C32" s="6">
        <v>-1.2</v>
      </c>
    </row>
    <row r="33" spans="1:3" x14ac:dyDescent="0.25">
      <c r="A33" s="6" t="s">
        <v>157</v>
      </c>
      <c r="B33" s="6">
        <v>-0.73199999999999998</v>
      </c>
      <c r="C33" s="6">
        <v>-3.2280000000000002</v>
      </c>
    </row>
    <row r="34" spans="1:3" x14ac:dyDescent="0.25">
      <c r="A34" s="6" t="s">
        <v>131</v>
      </c>
      <c r="B34" s="6">
        <v>-2.508</v>
      </c>
      <c r="C34" s="6">
        <v>-2.4119999999999999</v>
      </c>
    </row>
    <row r="35" spans="1:3" x14ac:dyDescent="0.25">
      <c r="A35" s="6" t="s">
        <v>124</v>
      </c>
      <c r="B35" s="6">
        <v>0.43</v>
      </c>
      <c r="C35" s="6">
        <v>-5.15</v>
      </c>
    </row>
    <row r="36" spans="1:3" x14ac:dyDescent="0.25">
      <c r="A36" s="6" t="s">
        <v>132</v>
      </c>
      <c r="B36" s="6">
        <v>-1.3080000000000001</v>
      </c>
      <c r="C36" s="6">
        <v>-3.7680000000000002</v>
      </c>
    </row>
    <row r="37" spans="1:3" x14ac:dyDescent="0.25">
      <c r="A37" s="6" t="s">
        <v>125</v>
      </c>
      <c r="B37" s="6">
        <v>-3.78</v>
      </c>
      <c r="C37" s="6">
        <v>-2.82</v>
      </c>
    </row>
    <row r="38" spans="1:3" x14ac:dyDescent="0.25">
      <c r="A38" s="6" t="s">
        <v>103</v>
      </c>
      <c r="B38" s="6">
        <v>-10.98</v>
      </c>
      <c r="C38" s="6">
        <v>-14.95</v>
      </c>
    </row>
    <row r="39" spans="1:3" x14ac:dyDescent="0.25">
      <c r="A39" s="6" t="s">
        <v>110</v>
      </c>
      <c r="B39" s="6">
        <v>-37.74</v>
      </c>
      <c r="C39" s="6">
        <v>5.7359999999999998</v>
      </c>
    </row>
    <row r="40" spans="1:3" x14ac:dyDescent="0.25">
      <c r="A40" s="6" t="s">
        <v>114</v>
      </c>
      <c r="B40" s="6">
        <v>-588.24</v>
      </c>
      <c r="C40" s="6">
        <v>-50.49</v>
      </c>
    </row>
    <row r="41" spans="1:3" x14ac:dyDescent="0.25">
      <c r="A41" s="6" t="s">
        <v>108</v>
      </c>
      <c r="B41" s="6">
        <v>-36.372</v>
      </c>
      <c r="C41" s="6">
        <v>1.752</v>
      </c>
    </row>
    <row r="42" spans="1:3" x14ac:dyDescent="0.25">
      <c r="A42" s="6" t="s">
        <v>107</v>
      </c>
      <c r="B42" s="6">
        <v>-31.68</v>
      </c>
      <c r="C42" s="6">
        <v>-10.272</v>
      </c>
    </row>
    <row r="43" spans="1:3" x14ac:dyDescent="0.25">
      <c r="A43" s="6" t="s">
        <v>104</v>
      </c>
      <c r="B43" s="6">
        <v>-33.323999999999998</v>
      </c>
      <c r="C43" s="6">
        <v>-8.25</v>
      </c>
    </row>
    <row r="44" spans="1:3" x14ac:dyDescent="0.25">
      <c r="A44" s="6" t="s">
        <v>111</v>
      </c>
      <c r="B44" s="6">
        <v>-776.37599999999998</v>
      </c>
      <c r="C44" s="6">
        <v>0</v>
      </c>
    </row>
    <row r="45" spans="1:3" x14ac:dyDescent="0.25">
      <c r="A45" s="6" t="s">
        <v>109</v>
      </c>
      <c r="B45" s="6">
        <v>-64.084000000000003</v>
      </c>
      <c r="C45" s="6">
        <v>-26.315999999999999</v>
      </c>
    </row>
    <row r="46" spans="1:3" x14ac:dyDescent="0.25">
      <c r="A46" s="6" t="s">
        <v>106</v>
      </c>
      <c r="B46" s="6">
        <v>-24.64</v>
      </c>
      <c r="C46" s="6">
        <v>-27.29</v>
      </c>
    </row>
    <row r="47" spans="1:3" x14ac:dyDescent="0.25">
      <c r="A47" s="6" t="s">
        <v>100</v>
      </c>
      <c r="B47" s="6">
        <v>-15.6</v>
      </c>
      <c r="C47" s="6">
        <v>-15</v>
      </c>
    </row>
    <row r="48" spans="1:3" x14ac:dyDescent="0.25">
      <c r="A48" s="6" t="s">
        <v>98</v>
      </c>
      <c r="B48" s="6">
        <v>-0.108</v>
      </c>
      <c r="C48" s="6">
        <v>-1.452</v>
      </c>
    </row>
    <row r="49" spans="1:3" x14ac:dyDescent="0.25">
      <c r="A49" s="6" t="s">
        <v>97</v>
      </c>
      <c r="B49" s="6">
        <v>-0.108</v>
      </c>
      <c r="C49" s="6">
        <v>-1.925</v>
      </c>
    </row>
    <row r="50" spans="1:3" x14ac:dyDescent="0.25">
      <c r="A50" s="6" t="s">
        <v>99</v>
      </c>
      <c r="B50" s="6">
        <v>-0.54</v>
      </c>
      <c r="C50" s="6">
        <v>-1.595</v>
      </c>
    </row>
    <row r="51" spans="1:3" x14ac:dyDescent="0.25">
      <c r="A51" s="6" t="s">
        <v>102</v>
      </c>
      <c r="B51" s="6">
        <v>-1.524</v>
      </c>
      <c r="C51" s="6">
        <v>-8.6020000000000003</v>
      </c>
    </row>
    <row r="52" spans="1:3" x14ac:dyDescent="0.25">
      <c r="A52" s="6" t="s">
        <v>101</v>
      </c>
      <c r="B52" s="6">
        <v>-0.26400000000000001</v>
      </c>
      <c r="C52" s="6">
        <v>-0.216</v>
      </c>
    </row>
    <row r="53" spans="1:3" x14ac:dyDescent="0.25">
      <c r="A53" s="6" t="s">
        <v>123</v>
      </c>
      <c r="B53" s="6">
        <v>-134.4</v>
      </c>
      <c r="C53" s="6">
        <v>27.111999999999998</v>
      </c>
    </row>
    <row r="54" spans="1:3" x14ac:dyDescent="0.25">
      <c r="A54" s="6" t="s">
        <v>116</v>
      </c>
      <c r="B54" s="6">
        <v>3.8759999999999999</v>
      </c>
      <c r="C54" s="6">
        <v>-20.628</v>
      </c>
    </row>
    <row r="55" spans="1:3" x14ac:dyDescent="0.25">
      <c r="A55" s="6" t="s">
        <v>117</v>
      </c>
      <c r="B55" s="6">
        <v>0.80400000000000005</v>
      </c>
      <c r="C55" s="6">
        <v>-4.524</v>
      </c>
    </row>
    <row r="56" spans="1:3" x14ac:dyDescent="0.25">
      <c r="A56" s="6" t="s">
        <v>118</v>
      </c>
      <c r="B56" s="6">
        <v>-10.992000000000001</v>
      </c>
      <c r="C56" s="6">
        <v>-5.8440000000000003</v>
      </c>
    </row>
    <row r="57" spans="1:3" x14ac:dyDescent="0.25">
      <c r="A57" s="6" t="s">
        <v>112</v>
      </c>
      <c r="B57" s="6">
        <v>-444.14400000000001</v>
      </c>
      <c r="C57" s="6">
        <v>0</v>
      </c>
    </row>
    <row r="58" spans="1:3" x14ac:dyDescent="0.25">
      <c r="A58" s="6" t="s">
        <v>129</v>
      </c>
      <c r="B58" s="6">
        <v>-7.32</v>
      </c>
      <c r="C58" s="6">
        <v>-20.568000000000001</v>
      </c>
    </row>
    <row r="59" spans="1:3" x14ac:dyDescent="0.25">
      <c r="A59" s="6" t="s">
        <v>119</v>
      </c>
      <c r="B59" s="6">
        <v>-14.544</v>
      </c>
      <c r="C59" s="6">
        <v>-18.059999999999999</v>
      </c>
    </row>
    <row r="60" spans="1:3" x14ac:dyDescent="0.25">
      <c r="A60" s="6" t="s">
        <v>115</v>
      </c>
      <c r="B60" s="6">
        <v>-972.4</v>
      </c>
      <c r="C60" s="6">
        <v>213.5</v>
      </c>
    </row>
    <row r="61" spans="1:3" x14ac:dyDescent="0.25">
      <c r="A61" s="6" t="s">
        <v>121</v>
      </c>
      <c r="B61" s="6">
        <v>-4.944</v>
      </c>
      <c r="C61" s="6">
        <v>-25.367999999999999</v>
      </c>
    </row>
    <row r="62" spans="1:3" x14ac:dyDescent="0.25">
      <c r="A62" s="6" t="s">
        <v>113</v>
      </c>
      <c r="B62" s="6">
        <v>-627.12</v>
      </c>
      <c r="C62" s="6">
        <v>0</v>
      </c>
    </row>
    <row r="63" spans="1:3" x14ac:dyDescent="0.25">
      <c r="A63" s="6" t="s">
        <v>168</v>
      </c>
      <c r="B63" s="6">
        <v>-50</v>
      </c>
      <c r="C63" s="6">
        <v>0</v>
      </c>
    </row>
    <row r="64" spans="1:3" x14ac:dyDescent="0.25">
      <c r="A64" s="6" t="s">
        <v>120</v>
      </c>
      <c r="B64" s="6">
        <v>-297.39600000000002</v>
      </c>
      <c r="C64" s="6">
        <v>0</v>
      </c>
    </row>
    <row r="65" spans="1:3" x14ac:dyDescent="0.25">
      <c r="A65" s="17" t="s">
        <v>161</v>
      </c>
      <c r="B65" s="17">
        <v>75.69</v>
      </c>
      <c r="C65" s="17">
        <v>-227.08</v>
      </c>
    </row>
    <row r="66" spans="1:3" x14ac:dyDescent="0.25">
      <c r="A66" s="17" t="s">
        <v>160</v>
      </c>
      <c r="B66" s="17">
        <v>-73.3</v>
      </c>
      <c r="C66" s="17">
        <v>16.920000000000002</v>
      </c>
    </row>
    <row r="67" spans="1:3" x14ac:dyDescent="0.25">
      <c r="A67" s="17" t="s">
        <v>159</v>
      </c>
      <c r="B67" s="17">
        <v>-1.3533999999999999</v>
      </c>
      <c r="C67" s="17">
        <v>0.3866</v>
      </c>
    </row>
    <row r="68" spans="1:3" x14ac:dyDescent="0.25">
      <c r="A68" s="17" t="s">
        <v>158</v>
      </c>
      <c r="B68" s="17">
        <v>-4.25</v>
      </c>
      <c r="C68" s="17">
        <v>-1.55</v>
      </c>
    </row>
    <row r="69" spans="1:3" x14ac:dyDescent="0.25">
      <c r="A69" s="17" t="s">
        <v>162</v>
      </c>
      <c r="B69" s="17">
        <v>-8.3333300000000001</v>
      </c>
      <c r="C69" s="17">
        <v>5</v>
      </c>
    </row>
    <row r="70" spans="1:3" x14ac:dyDescent="0.25">
      <c r="A70" s="6" t="s">
        <v>83</v>
      </c>
      <c r="B70" s="6">
        <v>7.38</v>
      </c>
      <c r="C70" s="6">
        <v>-24.97</v>
      </c>
    </row>
    <row r="71" spans="1:3" x14ac:dyDescent="0.25">
      <c r="A71" s="6" t="s">
        <v>84</v>
      </c>
      <c r="B71" s="6">
        <v>-5.3999000000000006</v>
      </c>
      <c r="C71" s="6">
        <v>-5.2778</v>
      </c>
    </row>
    <row r="72" spans="1:3" x14ac:dyDescent="0.25">
      <c r="A72" s="6" t="s">
        <v>85</v>
      </c>
      <c r="B72" s="6">
        <v>-74.965000000000003</v>
      </c>
      <c r="C72" s="6">
        <v>-148.98400000000001</v>
      </c>
    </row>
    <row r="73" spans="1:3" x14ac:dyDescent="0.25">
      <c r="A73" s="6" t="s">
        <v>86</v>
      </c>
      <c r="B73" s="6">
        <v>-6.1589000000000009</v>
      </c>
      <c r="C73" s="6">
        <v>-9.6899000000000015</v>
      </c>
    </row>
    <row r="74" spans="1:3" x14ac:dyDescent="0.25">
      <c r="A74" s="6" t="s">
        <v>87</v>
      </c>
      <c r="B74" s="6">
        <v>-3.1592000000000002</v>
      </c>
      <c r="C74" s="6">
        <v>-6.2777000000000003</v>
      </c>
    </row>
    <row r="75" spans="1:3" x14ac:dyDescent="0.25">
      <c r="A75" s="6" t="s">
        <v>88</v>
      </c>
      <c r="B75" s="6">
        <v>-18.809999999999999</v>
      </c>
      <c r="C75" s="6">
        <v>-17.16</v>
      </c>
    </row>
    <row r="76" spans="1:3" x14ac:dyDescent="0.25">
      <c r="A76" s="6" t="s">
        <v>89</v>
      </c>
      <c r="B76" s="6">
        <v>-2.1164000000000001</v>
      </c>
      <c r="C76" s="6">
        <v>-37.634300000000003</v>
      </c>
    </row>
    <row r="77" spans="1:3" x14ac:dyDescent="0.25">
      <c r="A77" s="6" t="s">
        <v>90</v>
      </c>
      <c r="B77" s="6">
        <v>-1.9646000000000001</v>
      </c>
      <c r="C77" s="6">
        <v>-3.9049999999999998</v>
      </c>
    </row>
    <row r="78" spans="1:3" x14ac:dyDescent="0.25">
      <c r="A78" s="6" t="s">
        <v>91</v>
      </c>
      <c r="B78" s="6">
        <v>18.360899999999997</v>
      </c>
      <c r="C78" s="6">
        <v>-32.381799999999998</v>
      </c>
    </row>
    <row r="79" spans="1:3" x14ac:dyDescent="0.25">
      <c r="A79" s="6" t="s">
        <v>92</v>
      </c>
      <c r="B79" s="6">
        <v>-10.35</v>
      </c>
      <c r="C79" s="6">
        <v>-30.75</v>
      </c>
    </row>
    <row r="80" spans="1:3" x14ac:dyDescent="0.25">
      <c r="A80" s="6" t="s">
        <v>93</v>
      </c>
      <c r="B80" s="6">
        <v>-7.2467999999999995</v>
      </c>
      <c r="C80" s="6">
        <v>-14.257100000000003</v>
      </c>
    </row>
    <row r="81" spans="1:3" x14ac:dyDescent="0.25">
      <c r="A81" s="6" t="s">
        <v>94</v>
      </c>
      <c r="B81" s="6">
        <v>-28.521900000000006</v>
      </c>
      <c r="C81" s="6">
        <v>-25.727900000000002</v>
      </c>
    </row>
    <row r="82" spans="1:3" x14ac:dyDescent="0.25">
      <c r="A82" s="6" t="s">
        <v>95</v>
      </c>
      <c r="B82" s="6">
        <v>19.071000000000002</v>
      </c>
      <c r="C82" s="6">
        <v>-86.724000000000004</v>
      </c>
    </row>
    <row r="83" spans="1:3" x14ac:dyDescent="0.25">
      <c r="A83" s="6" t="s">
        <v>96</v>
      </c>
      <c r="B83" s="6">
        <v>3.4649999999999999</v>
      </c>
      <c r="C83" s="6">
        <v>-19.459000000000003</v>
      </c>
    </row>
    <row r="84" spans="1:3" x14ac:dyDescent="0.25">
      <c r="A84" s="6" t="s">
        <v>431</v>
      </c>
      <c r="B84" s="6">
        <v>6.3E-2</v>
      </c>
      <c r="C84" s="6">
        <v>-0.82499999999999996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102"/>
  <sheetViews>
    <sheetView workbookViewId="0">
      <selection activeCell="D38" sqref="D38"/>
    </sheetView>
  </sheetViews>
  <sheetFormatPr defaultRowHeight="15" x14ac:dyDescent="0.25"/>
  <cols>
    <col min="2" max="2" width="11.140625" bestFit="1" customWidth="1"/>
    <col min="3" max="3" width="11.7109375" bestFit="1" customWidth="1"/>
    <col min="4" max="4" width="13" customWidth="1"/>
    <col min="5" max="5" width="11.140625" bestFit="1" customWidth="1"/>
  </cols>
  <sheetData>
    <row r="1" spans="1:3" x14ac:dyDescent="0.25">
      <c r="A1" t="s">
        <v>0</v>
      </c>
      <c r="B1" t="s">
        <v>390</v>
      </c>
      <c r="C1" t="s">
        <v>81</v>
      </c>
    </row>
    <row r="2" spans="1:3" x14ac:dyDescent="0.25">
      <c r="A2" t="s">
        <v>97</v>
      </c>
      <c r="B2">
        <v>4.1999999999999996E-2</v>
      </c>
      <c r="C2">
        <v>-2.0350000000000001</v>
      </c>
    </row>
    <row r="3" spans="1:3" x14ac:dyDescent="0.25">
      <c r="A3" t="s">
        <v>98</v>
      </c>
      <c r="B3">
        <v>-0.121</v>
      </c>
      <c r="C3">
        <v>-0.31900000000000001</v>
      </c>
    </row>
    <row r="4" spans="1:3" x14ac:dyDescent="0.25">
      <c r="A4" t="s">
        <v>99</v>
      </c>
      <c r="B4">
        <v>-0.42899999999999999</v>
      </c>
      <c r="C4">
        <v>-0.6160000000000001</v>
      </c>
    </row>
    <row r="5" spans="1:3" x14ac:dyDescent="0.25">
      <c r="A5" t="s">
        <v>100</v>
      </c>
      <c r="B5">
        <v>-1.9910000000000001</v>
      </c>
      <c r="C5">
        <v>-3.7839999999999998</v>
      </c>
    </row>
    <row r="6" spans="1:3" x14ac:dyDescent="0.25">
      <c r="A6" t="s">
        <v>101</v>
      </c>
      <c r="B6">
        <v>-0.18700000000000003</v>
      </c>
      <c r="C6">
        <v>-0.19799999999999998</v>
      </c>
    </row>
    <row r="7" spans="1:3" x14ac:dyDescent="0.25">
      <c r="A7" t="s">
        <v>102</v>
      </c>
      <c r="B7">
        <v>-1.177</v>
      </c>
      <c r="C7">
        <v>-2.1560000000000001</v>
      </c>
    </row>
    <row r="8" spans="1:3" x14ac:dyDescent="0.25">
      <c r="A8" t="s">
        <v>103</v>
      </c>
      <c r="B8">
        <v>-13.09</v>
      </c>
      <c r="C8">
        <v>-9.8560000000000016</v>
      </c>
    </row>
    <row r="9" spans="1:3" x14ac:dyDescent="0.25">
      <c r="A9" t="s">
        <v>104</v>
      </c>
      <c r="B9">
        <v>-29.744</v>
      </c>
      <c r="C9">
        <v>-2.101</v>
      </c>
    </row>
    <row r="10" spans="1:3" x14ac:dyDescent="0.25">
      <c r="A10" t="s">
        <v>105</v>
      </c>
      <c r="B10">
        <v>7.1999999999999995E-2</v>
      </c>
      <c r="C10">
        <v>-1.8039999999999998</v>
      </c>
    </row>
    <row r="11" spans="1:3" x14ac:dyDescent="0.25">
      <c r="A11" t="s">
        <v>106</v>
      </c>
      <c r="B11">
        <v>-2.4640000000000004</v>
      </c>
      <c r="C11">
        <v>-2.8929999999999998</v>
      </c>
    </row>
    <row r="12" spans="1:3" x14ac:dyDescent="0.25">
      <c r="A12" t="s">
        <v>107</v>
      </c>
      <c r="B12">
        <v>-30.360000000000003</v>
      </c>
      <c r="C12">
        <v>-9.3719999999999999</v>
      </c>
    </row>
    <row r="13" spans="1:3" x14ac:dyDescent="0.25">
      <c r="A13" t="s">
        <v>108</v>
      </c>
      <c r="B13">
        <v>-34.484999999999999</v>
      </c>
      <c r="C13">
        <v>1.113</v>
      </c>
    </row>
    <row r="14" spans="1:3" x14ac:dyDescent="0.25">
      <c r="A14" t="s">
        <v>109</v>
      </c>
      <c r="B14">
        <v>-24.508000000000003</v>
      </c>
      <c r="C14">
        <v>-26.146999999999998</v>
      </c>
    </row>
    <row r="15" spans="1:3" x14ac:dyDescent="0.25">
      <c r="A15" t="s">
        <v>110</v>
      </c>
      <c r="B15">
        <v>-32.483000000000004</v>
      </c>
      <c r="C15">
        <v>1.974</v>
      </c>
    </row>
    <row r="16" spans="1:3" x14ac:dyDescent="0.25">
      <c r="A16" t="s">
        <v>111</v>
      </c>
      <c r="B16">
        <v>-673.82700000000011</v>
      </c>
      <c r="C16">
        <v>0</v>
      </c>
    </row>
    <row r="17" spans="1:3" x14ac:dyDescent="0.25">
      <c r="A17" t="s">
        <v>112</v>
      </c>
      <c r="B17">
        <v>-493.60300000000001</v>
      </c>
      <c r="C17">
        <v>0</v>
      </c>
    </row>
    <row r="18" spans="1:3" x14ac:dyDescent="0.25">
      <c r="A18" t="s">
        <v>113</v>
      </c>
      <c r="B18">
        <v>-566.85200000000009</v>
      </c>
      <c r="C18">
        <v>0</v>
      </c>
    </row>
    <row r="19" spans="1:3" x14ac:dyDescent="0.25">
      <c r="A19" t="s">
        <v>114</v>
      </c>
      <c r="B19">
        <v>-633.85300000000007</v>
      </c>
      <c r="C19">
        <v>0</v>
      </c>
    </row>
    <row r="20" spans="1:3" x14ac:dyDescent="0.25">
      <c r="A20" t="s">
        <v>115</v>
      </c>
      <c r="B20">
        <v>-15.455</v>
      </c>
      <c r="C20">
        <v>3.4790000000000001</v>
      </c>
    </row>
    <row r="21" spans="1:3" x14ac:dyDescent="0.25">
      <c r="A21" t="s">
        <v>450</v>
      </c>
      <c r="B21">
        <v>-0.23099999999999998</v>
      </c>
      <c r="C21">
        <v>2.7E-2</v>
      </c>
    </row>
    <row r="22" spans="1:3" x14ac:dyDescent="0.25">
      <c r="A22" t="s">
        <v>116</v>
      </c>
      <c r="B22">
        <v>2.0649999999999999</v>
      </c>
      <c r="C22">
        <v>-18.073</v>
      </c>
    </row>
    <row r="23" spans="1:3" x14ac:dyDescent="0.25">
      <c r="A23" t="s">
        <v>117</v>
      </c>
      <c r="B23">
        <v>-2.2549999999999999</v>
      </c>
      <c r="C23">
        <v>-4.851</v>
      </c>
    </row>
    <row r="24" spans="1:3" x14ac:dyDescent="0.25">
      <c r="A24" t="s">
        <v>118</v>
      </c>
      <c r="B24">
        <v>-19.041</v>
      </c>
      <c r="C24">
        <v>-7.5129999999999999</v>
      </c>
    </row>
    <row r="25" spans="1:3" x14ac:dyDescent="0.25">
      <c r="A25" t="s">
        <v>119</v>
      </c>
      <c r="B25">
        <v>-14.663</v>
      </c>
      <c r="C25">
        <v>-16.016000000000002</v>
      </c>
    </row>
    <row r="26" spans="1:3" x14ac:dyDescent="0.25">
      <c r="A26" t="s">
        <v>120</v>
      </c>
      <c r="B26">
        <v>-314.98500000000001</v>
      </c>
      <c r="C26">
        <v>0</v>
      </c>
    </row>
    <row r="27" spans="1:3" x14ac:dyDescent="0.25">
      <c r="A27" t="s">
        <v>121</v>
      </c>
      <c r="B27">
        <v>-5.3789999999999996</v>
      </c>
      <c r="C27">
        <v>-22.495000000000001</v>
      </c>
    </row>
    <row r="28" spans="1:3" x14ac:dyDescent="0.25">
      <c r="A28" t="s">
        <v>122</v>
      </c>
      <c r="B28">
        <v>-3.9710000000000001</v>
      </c>
      <c r="C28">
        <v>-0.42899999999999999</v>
      </c>
    </row>
    <row r="29" spans="1:3" x14ac:dyDescent="0.25">
      <c r="A29" t="s">
        <v>123</v>
      </c>
      <c r="B29">
        <v>-83.830999999999989</v>
      </c>
      <c r="C29">
        <v>14.497000000000002</v>
      </c>
    </row>
    <row r="30" spans="1:3" x14ac:dyDescent="0.25">
      <c r="A30" t="s">
        <v>124</v>
      </c>
      <c r="B30">
        <v>0.84599999999999997</v>
      </c>
      <c r="C30">
        <v>-4.4109999999999996</v>
      </c>
    </row>
    <row r="31" spans="1:3" x14ac:dyDescent="0.25">
      <c r="A31" t="s">
        <v>125</v>
      </c>
      <c r="B31">
        <v>-3.2119999999999997</v>
      </c>
      <c r="C31">
        <v>-2.7720000000000002</v>
      </c>
    </row>
    <row r="32" spans="1:3" x14ac:dyDescent="0.25">
      <c r="A32" t="s">
        <v>126</v>
      </c>
      <c r="B32">
        <v>-3.63</v>
      </c>
      <c r="C32">
        <v>-0.19799999999999998</v>
      </c>
    </row>
    <row r="33" spans="1:3" x14ac:dyDescent="0.25">
      <c r="A33" t="s">
        <v>127</v>
      </c>
      <c r="B33">
        <v>-5.3879999999999999</v>
      </c>
      <c r="C33">
        <v>0.504</v>
      </c>
    </row>
    <row r="34" spans="1:3" x14ac:dyDescent="0.25">
      <c r="A34" t="s">
        <v>128</v>
      </c>
      <c r="B34">
        <v>-6.5119999999999996</v>
      </c>
      <c r="C34">
        <v>0.63900000000000001</v>
      </c>
    </row>
    <row r="35" spans="1:3" x14ac:dyDescent="0.25">
      <c r="A35" t="s">
        <v>129</v>
      </c>
      <c r="B35">
        <v>-8.734</v>
      </c>
      <c r="C35">
        <v>-16.830000000000002</v>
      </c>
    </row>
    <row r="36" spans="1:3" x14ac:dyDescent="0.25">
      <c r="A36" t="s">
        <v>130</v>
      </c>
      <c r="B36">
        <v>-7.4140000000000006</v>
      </c>
      <c r="C36">
        <v>0.16200000000000001</v>
      </c>
    </row>
    <row r="37" spans="1:3" x14ac:dyDescent="0.25">
      <c r="A37" t="s">
        <v>131</v>
      </c>
      <c r="B37">
        <v>-2.4200000000000004</v>
      </c>
      <c r="C37">
        <v>-2.0350000000000001</v>
      </c>
    </row>
    <row r="38" spans="1:3" x14ac:dyDescent="0.25">
      <c r="A38" t="s">
        <v>132</v>
      </c>
      <c r="B38">
        <v>-1.3080000000000001</v>
      </c>
      <c r="C38">
        <v>-3.7680000000000002</v>
      </c>
    </row>
    <row r="39" spans="1:3" x14ac:dyDescent="0.25">
      <c r="A39" t="s">
        <v>133</v>
      </c>
      <c r="B39">
        <v>-3.8279999999999998</v>
      </c>
      <c r="C39">
        <v>-3.1019999999999999</v>
      </c>
    </row>
    <row r="40" spans="1:3" x14ac:dyDescent="0.25">
      <c r="A40" t="s">
        <v>134</v>
      </c>
      <c r="B40">
        <v>-3.883</v>
      </c>
      <c r="C40">
        <v>-4.95</v>
      </c>
    </row>
    <row r="41" spans="1:3" x14ac:dyDescent="0.25">
      <c r="A41" t="s">
        <v>135</v>
      </c>
      <c r="B41">
        <v>-4.8620000000000001</v>
      </c>
      <c r="C41">
        <v>-3.3439999999999999</v>
      </c>
    </row>
    <row r="42" spans="1:3" x14ac:dyDescent="0.25">
      <c r="A42" t="s">
        <v>136</v>
      </c>
      <c r="B42">
        <v>0.33300000000000002</v>
      </c>
      <c r="C42">
        <v>-6.8310000000000004</v>
      </c>
    </row>
    <row r="43" spans="1:3" x14ac:dyDescent="0.25">
      <c r="A43" t="s">
        <v>137</v>
      </c>
      <c r="B43">
        <v>-4.2789999999999999</v>
      </c>
      <c r="C43">
        <v>-3.355</v>
      </c>
    </row>
    <row r="44" spans="1:3" x14ac:dyDescent="0.25">
      <c r="A44" t="s">
        <v>138</v>
      </c>
      <c r="B44">
        <v>-5.6040000000000001</v>
      </c>
      <c r="C44">
        <v>-5.0640000000000001</v>
      </c>
    </row>
    <row r="45" spans="1:3" x14ac:dyDescent="0.25">
      <c r="A45" t="s">
        <v>139</v>
      </c>
      <c r="B45">
        <v>-2.31</v>
      </c>
      <c r="C45">
        <v>-4.7080000000000002</v>
      </c>
    </row>
    <row r="46" spans="1:3" x14ac:dyDescent="0.25">
      <c r="A46" t="s">
        <v>140</v>
      </c>
      <c r="B46">
        <v>-4.2789999999999999</v>
      </c>
      <c r="C46">
        <v>0.53099999999999992</v>
      </c>
    </row>
    <row r="47" spans="1:3" x14ac:dyDescent="0.25">
      <c r="A47" t="s">
        <v>141</v>
      </c>
      <c r="B47">
        <v>-2.1779999999999999</v>
      </c>
      <c r="C47">
        <v>-1.2429999999999999</v>
      </c>
    </row>
    <row r="48" spans="1:3" x14ac:dyDescent="0.25">
      <c r="A48" t="s">
        <v>142</v>
      </c>
      <c r="B48">
        <v>-2.7829999999999999</v>
      </c>
      <c r="C48">
        <v>-1.65</v>
      </c>
    </row>
    <row r="49" spans="1:3" x14ac:dyDescent="0.25">
      <c r="A49" t="s">
        <v>143</v>
      </c>
      <c r="B49">
        <v>-2.1890000000000001</v>
      </c>
      <c r="C49">
        <v>-0.79199999999999993</v>
      </c>
    </row>
    <row r="50" spans="1:3" x14ac:dyDescent="0.25">
      <c r="A50" t="s">
        <v>144</v>
      </c>
      <c r="B50">
        <v>-0.27500000000000002</v>
      </c>
      <c r="C50">
        <v>-2.4200000000000004</v>
      </c>
    </row>
    <row r="51" spans="1:3" x14ac:dyDescent="0.25">
      <c r="A51" t="s">
        <v>145</v>
      </c>
      <c r="B51">
        <v>-5.258</v>
      </c>
      <c r="C51">
        <v>0.26999999999999996</v>
      </c>
    </row>
    <row r="52" spans="1:3" x14ac:dyDescent="0.25">
      <c r="A52" t="s">
        <v>146</v>
      </c>
      <c r="B52">
        <v>-0.82499999999999996</v>
      </c>
      <c r="C52">
        <v>-2.6070000000000002</v>
      </c>
    </row>
    <row r="53" spans="1:3" x14ac:dyDescent="0.25">
      <c r="A53" t="s">
        <v>147</v>
      </c>
      <c r="B53">
        <v>-0.84699999999999998</v>
      </c>
      <c r="C53">
        <v>-1.694</v>
      </c>
    </row>
    <row r="54" spans="1:3" x14ac:dyDescent="0.25">
      <c r="A54" t="s">
        <v>148</v>
      </c>
      <c r="B54">
        <v>0.75600000000000001</v>
      </c>
      <c r="C54">
        <v>-3.6850000000000001</v>
      </c>
    </row>
    <row r="55" spans="1:3" x14ac:dyDescent="0.25">
      <c r="A55" t="s">
        <v>149</v>
      </c>
      <c r="B55">
        <v>0.41400000000000003</v>
      </c>
      <c r="C55">
        <v>-2.9369999999999998</v>
      </c>
    </row>
    <row r="56" spans="1:3" x14ac:dyDescent="0.25">
      <c r="A56" t="s">
        <v>150</v>
      </c>
      <c r="B56">
        <v>-6.05</v>
      </c>
      <c r="C56">
        <v>0.93600000000000005</v>
      </c>
    </row>
    <row r="57" spans="1:3" x14ac:dyDescent="0.25">
      <c r="A57" t="s">
        <v>151</v>
      </c>
      <c r="B57">
        <v>-2.3320000000000003</v>
      </c>
      <c r="C57">
        <v>-1.9359999999999999</v>
      </c>
    </row>
    <row r="58" spans="1:3" x14ac:dyDescent="0.25">
      <c r="A58" t="s">
        <v>152</v>
      </c>
      <c r="B58">
        <v>-1.5399999999999998</v>
      </c>
      <c r="C58">
        <v>-1.4410000000000001</v>
      </c>
    </row>
    <row r="59" spans="1:3" x14ac:dyDescent="0.25">
      <c r="A59" t="s">
        <v>153</v>
      </c>
      <c r="B59">
        <v>-2.6070000000000002</v>
      </c>
      <c r="C59">
        <v>-1.8479999999999999</v>
      </c>
    </row>
    <row r="60" spans="1:3" x14ac:dyDescent="0.25">
      <c r="A60" t="s">
        <v>154</v>
      </c>
      <c r="B60">
        <v>-1.595</v>
      </c>
      <c r="C60">
        <v>-1.089</v>
      </c>
    </row>
    <row r="61" spans="1:3" x14ac:dyDescent="0.25">
      <c r="A61" t="s">
        <v>155</v>
      </c>
      <c r="B61">
        <v>0.54899999999999993</v>
      </c>
      <c r="C61">
        <v>-3.0140000000000002</v>
      </c>
    </row>
    <row r="62" spans="1:3" x14ac:dyDescent="0.25">
      <c r="A62" t="s">
        <v>156</v>
      </c>
      <c r="B62">
        <v>-0.45099999999999996</v>
      </c>
      <c r="C62">
        <v>-1.8259999999999998</v>
      </c>
    </row>
    <row r="63" spans="1:3" x14ac:dyDescent="0.25">
      <c r="A63" t="s">
        <v>157</v>
      </c>
      <c r="B63">
        <v>-0.82499999999999996</v>
      </c>
      <c r="C63">
        <v>-2.75</v>
      </c>
    </row>
    <row r="64" spans="1:3" x14ac:dyDescent="0.25">
      <c r="A64" t="s">
        <v>158</v>
      </c>
      <c r="B64">
        <v>-3.355</v>
      </c>
      <c r="C64">
        <v>-2.4089999999999998</v>
      </c>
    </row>
    <row r="65" spans="1:3" x14ac:dyDescent="0.25">
      <c r="A65" t="s">
        <v>159</v>
      </c>
      <c r="B65">
        <v>-0.56100000000000005</v>
      </c>
      <c r="C65">
        <v>-0.30800000000000005</v>
      </c>
    </row>
    <row r="66" spans="1:3" x14ac:dyDescent="0.25">
      <c r="A66" t="s">
        <v>160</v>
      </c>
      <c r="B66">
        <v>-14.949</v>
      </c>
      <c r="C66">
        <v>-3.8170000000000002</v>
      </c>
    </row>
    <row r="67" spans="1:3" x14ac:dyDescent="0.25">
      <c r="A67" t="s">
        <v>161</v>
      </c>
      <c r="B67">
        <v>-36.750999999999998</v>
      </c>
      <c r="C67">
        <v>-10.142000000000001</v>
      </c>
    </row>
    <row r="68" spans="1:3" x14ac:dyDescent="0.25">
      <c r="A68" t="s">
        <v>451</v>
      </c>
      <c r="B68">
        <v>-0.30800000000000005</v>
      </c>
      <c r="C68">
        <v>-0.42899999999999999</v>
      </c>
    </row>
    <row r="69" spans="1:3" x14ac:dyDescent="0.25">
      <c r="A69" t="s">
        <v>452</v>
      </c>
      <c r="B69">
        <v>-0.59400000000000008</v>
      </c>
      <c r="C69">
        <v>-0.56100000000000005</v>
      </c>
    </row>
    <row r="70" spans="1:3" x14ac:dyDescent="0.25">
      <c r="A70" t="s">
        <v>166</v>
      </c>
      <c r="B70">
        <v>-10.043000000000001</v>
      </c>
      <c r="C70">
        <v>-2.794</v>
      </c>
    </row>
    <row r="71" spans="1:3" x14ac:dyDescent="0.25">
      <c r="A71" t="s">
        <v>453</v>
      </c>
      <c r="B71">
        <v>-80.882999999999996</v>
      </c>
      <c r="C71">
        <v>6.0209999999999999</v>
      </c>
    </row>
    <row r="72" spans="1:3" x14ac:dyDescent="0.25">
      <c r="A72" t="s">
        <v>216</v>
      </c>
      <c r="B72">
        <v>-30.975999999999999</v>
      </c>
      <c r="C72">
        <v>-30.975999999999999</v>
      </c>
    </row>
    <row r="73" spans="1:3" x14ac:dyDescent="0.25">
      <c r="A73" t="s">
        <v>218</v>
      </c>
      <c r="B73">
        <v>-8.4369999999999994</v>
      </c>
      <c r="C73">
        <v>-8.4369999999999994</v>
      </c>
    </row>
    <row r="74" spans="1:3" x14ac:dyDescent="0.25">
      <c r="A74" t="s">
        <v>219</v>
      </c>
      <c r="B74">
        <v>-143.45099999999999</v>
      </c>
      <c r="C74">
        <v>-143.45099999999999</v>
      </c>
    </row>
    <row r="75" spans="1:3" x14ac:dyDescent="0.25">
      <c r="A75" t="s">
        <v>220</v>
      </c>
      <c r="B75">
        <v>-4.1360000000000001</v>
      </c>
      <c r="C75">
        <v>-4.1360000000000001</v>
      </c>
    </row>
    <row r="76" spans="1:3" x14ac:dyDescent="0.25">
      <c r="A76" t="s">
        <v>78</v>
      </c>
      <c r="B76">
        <v>-2283.7650000000003</v>
      </c>
      <c r="C76">
        <v>-2283.7650000000003</v>
      </c>
    </row>
    <row r="77" spans="1:3" x14ac:dyDescent="0.25">
      <c r="A77" t="s">
        <v>446</v>
      </c>
      <c r="B77">
        <v>-5.5549999999999997</v>
      </c>
      <c r="C77">
        <v>-2.5409999999999999</v>
      </c>
    </row>
    <row r="78" spans="1:3" x14ac:dyDescent="0.25">
      <c r="A78" t="s">
        <v>431</v>
      </c>
      <c r="B78">
        <v>6.3E-2</v>
      </c>
      <c r="C78">
        <v>-0.82499999999999996</v>
      </c>
    </row>
    <row r="79" spans="1:3" x14ac:dyDescent="0.25">
      <c r="A79" t="s">
        <v>232</v>
      </c>
      <c r="B79">
        <v>3.5459999999999998</v>
      </c>
      <c r="C79">
        <v>-10.196999999999999</v>
      </c>
    </row>
    <row r="80" spans="1:3" x14ac:dyDescent="0.25">
      <c r="A80" t="s">
        <v>230</v>
      </c>
      <c r="B80">
        <v>-7.0840000000000005</v>
      </c>
      <c r="C80">
        <v>1.6919999999999999</v>
      </c>
    </row>
    <row r="81" spans="1:3" x14ac:dyDescent="0.25">
      <c r="A81" t="s">
        <v>228</v>
      </c>
      <c r="B81">
        <v>-7.7219999999999995</v>
      </c>
      <c r="C81">
        <v>2.3759999999999999</v>
      </c>
    </row>
    <row r="82" spans="1:3" x14ac:dyDescent="0.25">
      <c r="A82" t="s">
        <v>225</v>
      </c>
      <c r="B82">
        <v>-19.008000000000003</v>
      </c>
      <c r="C82">
        <v>1.9620000000000002</v>
      </c>
    </row>
    <row r="83" spans="1:3" x14ac:dyDescent="0.25">
      <c r="A83" t="s">
        <v>214</v>
      </c>
      <c r="B83">
        <v>-8.7780000000000005</v>
      </c>
      <c r="C83">
        <v>3.7259999999999995</v>
      </c>
    </row>
    <row r="84" spans="1:3" x14ac:dyDescent="0.25">
      <c r="A84" t="s">
        <v>237</v>
      </c>
      <c r="B84">
        <v>-1.7490000000000001</v>
      </c>
      <c r="C84">
        <v>-1.5399999999999998</v>
      </c>
    </row>
    <row r="85" spans="1:3" x14ac:dyDescent="0.25">
      <c r="A85" t="s">
        <v>215</v>
      </c>
      <c r="B85">
        <v>-11.869</v>
      </c>
      <c r="C85">
        <v>0.35100000000000003</v>
      </c>
    </row>
    <row r="86" spans="1:3" x14ac:dyDescent="0.25">
      <c r="A86" t="s">
        <v>447</v>
      </c>
      <c r="B86">
        <v>7.6769999999999996</v>
      </c>
      <c r="C86">
        <v>-15.708</v>
      </c>
    </row>
    <row r="87" spans="1:3" x14ac:dyDescent="0.25">
      <c r="A87" t="s">
        <v>448</v>
      </c>
      <c r="B87">
        <v>-1.5509999999999999</v>
      </c>
      <c r="C87">
        <v>0.216</v>
      </c>
    </row>
    <row r="88" spans="1:3" x14ac:dyDescent="0.25">
      <c r="A88" t="s">
        <v>83</v>
      </c>
      <c r="B88">
        <v>0.73799999999999999</v>
      </c>
      <c r="C88">
        <v>-2.4969999999999999</v>
      </c>
    </row>
    <row r="89" spans="1:3" x14ac:dyDescent="0.25">
      <c r="A89" t="s">
        <v>85</v>
      </c>
      <c r="B89">
        <v>-74.965000000000003</v>
      </c>
      <c r="C89">
        <v>-148.98400000000001</v>
      </c>
    </row>
    <row r="90" spans="1:3" x14ac:dyDescent="0.25">
      <c r="A90" t="s">
        <v>93</v>
      </c>
      <c r="B90">
        <v>-72.467999999999989</v>
      </c>
      <c r="C90">
        <v>-142.57100000000003</v>
      </c>
    </row>
    <row r="91" spans="1:3" x14ac:dyDescent="0.25">
      <c r="A91" t="s">
        <v>89</v>
      </c>
      <c r="B91">
        <v>-21.163999999999998</v>
      </c>
      <c r="C91">
        <v>-376.34300000000002</v>
      </c>
    </row>
    <row r="92" spans="1:3" x14ac:dyDescent="0.25">
      <c r="A92" t="s">
        <v>88</v>
      </c>
      <c r="B92">
        <v>-1.881</v>
      </c>
      <c r="C92">
        <v>-1.716</v>
      </c>
    </row>
    <row r="93" spans="1:3" x14ac:dyDescent="0.25">
      <c r="A93" t="s">
        <v>84</v>
      </c>
      <c r="B93">
        <v>-53.999000000000002</v>
      </c>
      <c r="C93">
        <v>-52.777999999999999</v>
      </c>
    </row>
    <row r="94" spans="1:3" x14ac:dyDescent="0.25">
      <c r="A94" t="s">
        <v>91</v>
      </c>
      <c r="B94">
        <v>183.60899999999998</v>
      </c>
      <c r="C94">
        <v>-323.81799999999998</v>
      </c>
    </row>
    <row r="95" spans="1:3" x14ac:dyDescent="0.25">
      <c r="A95" t="s">
        <v>90</v>
      </c>
      <c r="B95">
        <v>-19.646000000000001</v>
      </c>
      <c r="C95">
        <v>-39.049999999999997</v>
      </c>
    </row>
    <row r="96" spans="1:3" x14ac:dyDescent="0.25">
      <c r="A96" t="s">
        <v>95</v>
      </c>
      <c r="B96">
        <v>19.071000000000002</v>
      </c>
      <c r="C96">
        <v>-86.724000000000004</v>
      </c>
    </row>
    <row r="97" spans="1:3" x14ac:dyDescent="0.25">
      <c r="A97" t="s">
        <v>94</v>
      </c>
      <c r="B97">
        <v>-285.21900000000005</v>
      </c>
      <c r="C97">
        <v>-257.279</v>
      </c>
    </row>
    <row r="98" spans="1:3" x14ac:dyDescent="0.25">
      <c r="A98" t="s">
        <v>87</v>
      </c>
      <c r="B98">
        <v>-31.591999999999999</v>
      </c>
      <c r="C98">
        <v>-62.777000000000001</v>
      </c>
    </row>
    <row r="99" spans="1:3" x14ac:dyDescent="0.25">
      <c r="A99" t="s">
        <v>86</v>
      </c>
      <c r="B99">
        <v>-61.589000000000006</v>
      </c>
      <c r="C99">
        <v>-96.899000000000001</v>
      </c>
    </row>
    <row r="100" spans="1:3" x14ac:dyDescent="0.25">
      <c r="A100" t="s">
        <v>449</v>
      </c>
      <c r="B100">
        <v>-177.98000000000002</v>
      </c>
      <c r="C100">
        <v>-280.01600000000002</v>
      </c>
    </row>
    <row r="101" spans="1:3" x14ac:dyDescent="0.25">
      <c r="A101" t="s">
        <v>92</v>
      </c>
      <c r="B101">
        <v>12.2</v>
      </c>
      <c r="C101">
        <v>-42.227999999999994</v>
      </c>
    </row>
    <row r="102" spans="1:3" x14ac:dyDescent="0.25">
      <c r="A102" t="s">
        <v>96</v>
      </c>
      <c r="B102">
        <v>3.4649999999999999</v>
      </c>
      <c r="C102">
        <v>-19.459000000000003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6"/>
  <sheetViews>
    <sheetView workbookViewId="0">
      <selection activeCell="D13" sqref="D13"/>
    </sheetView>
  </sheetViews>
  <sheetFormatPr defaultRowHeight="15" x14ac:dyDescent="0.25"/>
  <cols>
    <col min="1" max="1" width="12.140625" bestFit="1" customWidth="1"/>
    <col min="2" max="2" width="11.140625" bestFit="1" customWidth="1"/>
    <col min="3" max="3" width="11.7109375" bestFit="1" customWidth="1"/>
  </cols>
  <sheetData>
    <row r="1" spans="1:3" x14ac:dyDescent="0.25">
      <c r="A1" s="5" t="s">
        <v>0</v>
      </c>
      <c r="B1" s="5" t="s">
        <v>81</v>
      </c>
      <c r="C1" s="5" t="s">
        <v>82</v>
      </c>
    </row>
    <row r="2" spans="1:3" x14ac:dyDescent="0.25">
      <c r="A2" s="13" t="s">
        <v>161</v>
      </c>
      <c r="B2" s="14">
        <v>75.69</v>
      </c>
      <c r="C2" s="14">
        <v>-227.08</v>
      </c>
    </row>
    <row r="3" spans="1:3" x14ac:dyDescent="0.25">
      <c r="A3" s="13" t="s">
        <v>160</v>
      </c>
      <c r="B3" s="14">
        <v>-73.3</v>
      </c>
      <c r="C3" s="14">
        <v>16.920000000000002</v>
      </c>
    </row>
    <row r="4" spans="1:3" x14ac:dyDescent="0.25">
      <c r="A4" s="15" t="s">
        <v>159</v>
      </c>
      <c r="B4" s="16">
        <v>-1.3533999999999999</v>
      </c>
      <c r="C4" s="16">
        <v>0.3866</v>
      </c>
    </row>
    <row r="5" spans="1:3" x14ac:dyDescent="0.25">
      <c r="A5" s="15" t="s">
        <v>158</v>
      </c>
      <c r="B5" s="16">
        <v>-4.25</v>
      </c>
      <c r="C5" s="16">
        <v>-1.55</v>
      </c>
    </row>
    <row r="6" spans="1:3" x14ac:dyDescent="0.25">
      <c r="A6" s="15" t="s">
        <v>162</v>
      </c>
      <c r="B6" s="16">
        <v>-8.3333300000000001</v>
      </c>
      <c r="C6" s="16">
        <v>5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03"/>
  <sheetViews>
    <sheetView topLeftCell="A46" workbookViewId="0">
      <selection activeCell="C79" sqref="C79:D79"/>
    </sheetView>
  </sheetViews>
  <sheetFormatPr defaultRowHeight="15" x14ac:dyDescent="0.25"/>
  <cols>
    <col min="1" max="1" width="13" customWidth="1"/>
    <col min="2" max="2" width="11.140625" bestFit="1" customWidth="1"/>
    <col min="3" max="3" width="11.7109375" bestFit="1" customWidth="1"/>
  </cols>
  <sheetData>
    <row r="1" spans="1:5" x14ac:dyDescent="0.25">
      <c r="A1" t="s">
        <v>0</v>
      </c>
      <c r="B1" t="s">
        <v>390</v>
      </c>
      <c r="C1" t="s">
        <v>81</v>
      </c>
      <c r="D1" t="s">
        <v>82</v>
      </c>
      <c r="E1" t="s">
        <v>441</v>
      </c>
    </row>
    <row r="2" spans="1:5" x14ac:dyDescent="0.25">
      <c r="A2" t="s">
        <v>1</v>
      </c>
      <c r="B2" t="s">
        <v>391</v>
      </c>
      <c r="C2">
        <v>-0.06</v>
      </c>
      <c r="D2">
        <v>-1.85</v>
      </c>
      <c r="E2">
        <v>3</v>
      </c>
    </row>
    <row r="3" spans="1:5" x14ac:dyDescent="0.25">
      <c r="A3" t="s">
        <v>2</v>
      </c>
      <c r="B3" t="s">
        <v>391</v>
      </c>
      <c r="C3">
        <v>0.11</v>
      </c>
      <c r="D3">
        <v>-0.28999999999999998</v>
      </c>
      <c r="E3">
        <v>3</v>
      </c>
    </row>
    <row r="4" spans="1:5" x14ac:dyDescent="0.25">
      <c r="A4" t="s">
        <v>3</v>
      </c>
      <c r="B4" t="s">
        <v>391</v>
      </c>
      <c r="C4">
        <v>0.39</v>
      </c>
      <c r="D4">
        <v>-0.56000000000000005</v>
      </c>
      <c r="E4">
        <v>3</v>
      </c>
    </row>
    <row r="5" spans="1:5" x14ac:dyDescent="0.25">
      <c r="A5" t="s">
        <v>4</v>
      </c>
      <c r="B5" t="s">
        <v>391</v>
      </c>
      <c r="C5">
        <v>1.81</v>
      </c>
      <c r="D5">
        <v>-3.44</v>
      </c>
      <c r="E5">
        <v>4</v>
      </c>
    </row>
    <row r="6" spans="1:5" x14ac:dyDescent="0.25">
      <c r="A6" t="s">
        <v>5</v>
      </c>
      <c r="B6" t="s">
        <v>391</v>
      </c>
      <c r="C6">
        <v>0.17</v>
      </c>
      <c r="D6">
        <v>-0.18</v>
      </c>
      <c r="E6">
        <v>3</v>
      </c>
    </row>
    <row r="7" spans="1:5" x14ac:dyDescent="0.25">
      <c r="A7" t="s">
        <v>6</v>
      </c>
      <c r="B7" t="s">
        <v>391</v>
      </c>
      <c r="C7">
        <v>1.07</v>
      </c>
      <c r="D7">
        <v>-1.96</v>
      </c>
      <c r="E7">
        <v>5</v>
      </c>
    </row>
    <row r="8" spans="1:5" x14ac:dyDescent="0.25">
      <c r="A8" t="s">
        <v>7</v>
      </c>
      <c r="B8" t="s">
        <v>391</v>
      </c>
      <c r="C8">
        <v>11.9</v>
      </c>
      <c r="D8">
        <v>-8.9600000000000009</v>
      </c>
      <c r="E8">
        <v>5</v>
      </c>
    </row>
    <row r="9" spans="1:5" x14ac:dyDescent="0.25">
      <c r="A9" t="s">
        <v>8</v>
      </c>
      <c r="B9" t="s">
        <v>391</v>
      </c>
      <c r="C9">
        <v>27.04</v>
      </c>
      <c r="D9">
        <v>-1.91</v>
      </c>
      <c r="E9">
        <v>5</v>
      </c>
    </row>
    <row r="10" spans="1:5" x14ac:dyDescent="0.25">
      <c r="A10" t="s">
        <v>9</v>
      </c>
      <c r="B10" t="s">
        <v>391</v>
      </c>
      <c r="C10">
        <v>-0.08</v>
      </c>
      <c r="D10">
        <v>-1.64</v>
      </c>
      <c r="E10">
        <v>5</v>
      </c>
    </row>
    <row r="11" spans="1:5" x14ac:dyDescent="0.25">
      <c r="A11" t="s">
        <v>10</v>
      </c>
      <c r="B11" t="s">
        <v>391</v>
      </c>
      <c r="C11">
        <v>2.2400000000000002</v>
      </c>
      <c r="D11">
        <v>-2.63</v>
      </c>
      <c r="E11">
        <v>4</v>
      </c>
    </row>
    <row r="12" spans="1:5" x14ac:dyDescent="0.25">
      <c r="A12" t="s">
        <v>11</v>
      </c>
      <c r="B12" t="s">
        <v>391</v>
      </c>
      <c r="C12">
        <v>27.6</v>
      </c>
      <c r="D12">
        <v>-8.52</v>
      </c>
      <c r="E12">
        <v>5</v>
      </c>
    </row>
    <row r="13" spans="1:5" x14ac:dyDescent="0.25">
      <c r="A13" t="s">
        <v>12</v>
      </c>
      <c r="B13" t="s">
        <v>391</v>
      </c>
      <c r="C13">
        <v>31.35</v>
      </c>
      <c r="D13">
        <v>1.59</v>
      </c>
      <c r="E13">
        <v>5</v>
      </c>
    </row>
    <row r="14" spans="1:5" x14ac:dyDescent="0.25">
      <c r="A14" t="s">
        <v>13</v>
      </c>
      <c r="B14" t="s">
        <v>391</v>
      </c>
      <c r="C14">
        <v>22.28</v>
      </c>
      <c r="D14">
        <v>-23.77</v>
      </c>
      <c r="E14">
        <v>5</v>
      </c>
    </row>
    <row r="15" spans="1:5" x14ac:dyDescent="0.25">
      <c r="A15" t="s">
        <v>14</v>
      </c>
      <c r="B15" t="s">
        <v>391</v>
      </c>
      <c r="C15">
        <v>29.53</v>
      </c>
      <c r="D15">
        <v>2.82</v>
      </c>
      <c r="E15">
        <v>5</v>
      </c>
    </row>
    <row r="16" spans="1:5" x14ac:dyDescent="0.25">
      <c r="A16" t="s">
        <v>15</v>
      </c>
      <c r="B16" t="s">
        <v>391</v>
      </c>
      <c r="C16">
        <v>612.57000000000005</v>
      </c>
      <c r="D16">
        <v>0</v>
      </c>
      <c r="E16">
        <v>5</v>
      </c>
    </row>
    <row r="17" spans="1:5" x14ac:dyDescent="0.25">
      <c r="A17" t="s">
        <v>16</v>
      </c>
      <c r="B17" t="s">
        <v>391</v>
      </c>
      <c r="C17">
        <v>448.73</v>
      </c>
      <c r="D17">
        <v>0</v>
      </c>
      <c r="E17">
        <v>5</v>
      </c>
    </row>
    <row r="18" spans="1:5" x14ac:dyDescent="0.25">
      <c r="A18" t="s">
        <v>17</v>
      </c>
      <c r="B18" t="s">
        <v>391</v>
      </c>
      <c r="C18">
        <v>515.32000000000005</v>
      </c>
      <c r="D18">
        <v>0</v>
      </c>
      <c r="E18">
        <v>5</v>
      </c>
    </row>
    <row r="19" spans="1:5" x14ac:dyDescent="0.25">
      <c r="A19" t="s">
        <v>18</v>
      </c>
      <c r="B19" t="s">
        <v>391</v>
      </c>
      <c r="C19">
        <v>576.23</v>
      </c>
      <c r="D19">
        <v>0</v>
      </c>
      <c r="E19">
        <v>5</v>
      </c>
    </row>
    <row r="20" spans="1:5" x14ac:dyDescent="0.25">
      <c r="A20" t="s">
        <v>19</v>
      </c>
      <c r="B20" t="s">
        <v>391</v>
      </c>
      <c r="C20">
        <v>14.05</v>
      </c>
      <c r="D20">
        <v>4.97</v>
      </c>
      <c r="E20">
        <v>3</v>
      </c>
    </row>
    <row r="21" spans="1:5" x14ac:dyDescent="0.25">
      <c r="A21" t="s">
        <v>442</v>
      </c>
      <c r="B21" t="s">
        <v>391</v>
      </c>
      <c r="C21">
        <v>0.21</v>
      </c>
      <c r="D21">
        <v>0.03</v>
      </c>
      <c r="E21">
        <v>3</v>
      </c>
    </row>
    <row r="22" spans="1:5" x14ac:dyDescent="0.25">
      <c r="A22" t="s">
        <v>20</v>
      </c>
      <c r="B22" t="s">
        <v>391</v>
      </c>
      <c r="C22">
        <v>-2.95</v>
      </c>
      <c r="D22">
        <v>-16.43</v>
      </c>
      <c r="E22">
        <v>5</v>
      </c>
    </row>
    <row r="23" spans="1:5" x14ac:dyDescent="0.25">
      <c r="A23" t="s">
        <v>21</v>
      </c>
      <c r="B23" t="s">
        <v>391</v>
      </c>
      <c r="C23">
        <v>2.0499999999999998</v>
      </c>
      <c r="D23">
        <v>-4.41</v>
      </c>
      <c r="E23">
        <v>5</v>
      </c>
    </row>
    <row r="24" spans="1:5" x14ac:dyDescent="0.25">
      <c r="A24" t="s">
        <v>22</v>
      </c>
      <c r="B24" t="s">
        <v>391</v>
      </c>
      <c r="C24">
        <v>17.309999999999999</v>
      </c>
      <c r="D24">
        <v>-6.83</v>
      </c>
      <c r="E24">
        <v>3</v>
      </c>
    </row>
    <row r="25" spans="1:5" x14ac:dyDescent="0.25">
      <c r="A25" t="s">
        <v>23</v>
      </c>
      <c r="B25" t="s">
        <v>391</v>
      </c>
      <c r="C25">
        <v>13.33</v>
      </c>
      <c r="D25">
        <v>-14.56</v>
      </c>
      <c r="E25">
        <v>5</v>
      </c>
    </row>
    <row r="26" spans="1:5" x14ac:dyDescent="0.25">
      <c r="A26" t="s">
        <v>24</v>
      </c>
      <c r="B26" t="s">
        <v>391</v>
      </c>
      <c r="C26">
        <v>286.35000000000002</v>
      </c>
      <c r="D26">
        <v>0</v>
      </c>
      <c r="E26">
        <v>5</v>
      </c>
    </row>
    <row r="27" spans="1:5" x14ac:dyDescent="0.25">
      <c r="A27" t="s">
        <v>25</v>
      </c>
      <c r="B27" t="s">
        <v>391</v>
      </c>
      <c r="C27">
        <v>4.8899999999999997</v>
      </c>
      <c r="D27">
        <v>-20.45</v>
      </c>
      <c r="E27">
        <v>5</v>
      </c>
    </row>
    <row r="28" spans="1:5" x14ac:dyDescent="0.25">
      <c r="A28" t="s">
        <v>26</v>
      </c>
      <c r="B28" t="s">
        <v>391</v>
      </c>
      <c r="C28">
        <v>3.61</v>
      </c>
      <c r="D28">
        <v>-0.39</v>
      </c>
      <c r="E28">
        <v>5</v>
      </c>
    </row>
    <row r="29" spans="1:5" x14ac:dyDescent="0.25">
      <c r="A29" t="s">
        <v>27</v>
      </c>
      <c r="B29" t="s">
        <v>391</v>
      </c>
      <c r="C29">
        <v>76.209999999999994</v>
      </c>
      <c r="D29">
        <v>20.71</v>
      </c>
      <c r="E29">
        <v>5</v>
      </c>
    </row>
    <row r="30" spans="1:5" x14ac:dyDescent="0.25">
      <c r="A30" t="s">
        <v>28</v>
      </c>
      <c r="B30" t="s">
        <v>391</v>
      </c>
      <c r="C30">
        <v>-0.94</v>
      </c>
      <c r="D30">
        <v>-4.01</v>
      </c>
      <c r="E30">
        <v>5</v>
      </c>
    </row>
    <row r="31" spans="1:5" x14ac:dyDescent="0.25">
      <c r="A31" t="s">
        <v>29</v>
      </c>
      <c r="B31" t="s">
        <v>391</v>
      </c>
      <c r="C31">
        <v>2.92</v>
      </c>
      <c r="D31">
        <v>-2.52</v>
      </c>
      <c r="E31">
        <v>5</v>
      </c>
    </row>
    <row r="32" spans="1:5" x14ac:dyDescent="0.25">
      <c r="A32" t="s">
        <v>30</v>
      </c>
      <c r="B32" t="s">
        <v>391</v>
      </c>
      <c r="C32">
        <v>3.3</v>
      </c>
      <c r="D32">
        <v>-0.18</v>
      </c>
      <c r="E32">
        <v>3</v>
      </c>
    </row>
    <row r="33" spans="1:5" x14ac:dyDescent="0.25">
      <c r="A33" t="s">
        <v>31</v>
      </c>
      <c r="B33" t="s">
        <v>391</v>
      </c>
      <c r="C33">
        <v>4.49</v>
      </c>
      <c r="D33">
        <v>0.63</v>
      </c>
      <c r="E33">
        <v>5</v>
      </c>
    </row>
    <row r="34" spans="1:5" x14ac:dyDescent="0.25">
      <c r="A34" t="s">
        <v>32</v>
      </c>
      <c r="B34" t="s">
        <v>391</v>
      </c>
      <c r="C34">
        <v>5.92</v>
      </c>
      <c r="D34">
        <v>0.71</v>
      </c>
      <c r="E34">
        <v>5</v>
      </c>
    </row>
    <row r="35" spans="1:5" x14ac:dyDescent="0.25">
      <c r="A35" t="s">
        <v>33</v>
      </c>
      <c r="B35" t="s">
        <v>391</v>
      </c>
      <c r="C35">
        <v>7.94</v>
      </c>
      <c r="D35">
        <v>-15.3</v>
      </c>
      <c r="E35">
        <v>5</v>
      </c>
    </row>
    <row r="36" spans="1:5" x14ac:dyDescent="0.25">
      <c r="A36" t="s">
        <v>34</v>
      </c>
      <c r="B36" t="s">
        <v>391</v>
      </c>
      <c r="C36">
        <v>6.74</v>
      </c>
      <c r="D36">
        <v>0.18</v>
      </c>
      <c r="E36">
        <v>5</v>
      </c>
    </row>
    <row r="37" spans="1:5" x14ac:dyDescent="0.25">
      <c r="A37" t="s">
        <v>35</v>
      </c>
      <c r="B37" t="s">
        <v>391</v>
      </c>
      <c r="C37">
        <v>2.2000000000000002</v>
      </c>
      <c r="D37">
        <v>-1.85</v>
      </c>
      <c r="E37">
        <v>5</v>
      </c>
    </row>
    <row r="38" spans="1:5" x14ac:dyDescent="0.25">
      <c r="A38" t="s">
        <v>36</v>
      </c>
      <c r="B38" t="s">
        <v>391</v>
      </c>
      <c r="C38">
        <v>1.0900000000000001</v>
      </c>
      <c r="D38">
        <v>-3.14</v>
      </c>
      <c r="E38">
        <v>3</v>
      </c>
    </row>
    <row r="39" spans="1:5" x14ac:dyDescent="0.25">
      <c r="A39" t="s">
        <v>37</v>
      </c>
      <c r="B39" t="s">
        <v>391</v>
      </c>
      <c r="C39">
        <v>3.48</v>
      </c>
      <c r="D39">
        <v>-2.82</v>
      </c>
      <c r="E39">
        <v>5</v>
      </c>
    </row>
    <row r="40" spans="1:5" x14ac:dyDescent="0.25">
      <c r="A40" t="s">
        <v>38</v>
      </c>
      <c r="B40" t="s">
        <v>391</v>
      </c>
      <c r="C40">
        <v>3.53</v>
      </c>
      <c r="D40">
        <v>-4.5</v>
      </c>
      <c r="E40">
        <v>5</v>
      </c>
    </row>
    <row r="41" spans="1:5" x14ac:dyDescent="0.25">
      <c r="A41" t="s">
        <v>39</v>
      </c>
      <c r="B41" t="s">
        <v>391</v>
      </c>
      <c r="C41">
        <v>4.42</v>
      </c>
      <c r="D41">
        <v>-3.04</v>
      </c>
      <c r="E41">
        <v>5</v>
      </c>
    </row>
    <row r="42" spans="1:5" x14ac:dyDescent="0.25">
      <c r="A42" t="s">
        <v>40</v>
      </c>
      <c r="B42" t="s">
        <v>391</v>
      </c>
      <c r="C42">
        <v>-0.37</v>
      </c>
      <c r="D42">
        <v>-6.21</v>
      </c>
      <c r="E42">
        <v>5</v>
      </c>
    </row>
    <row r="43" spans="1:5" x14ac:dyDescent="0.25">
      <c r="A43" t="s">
        <v>41</v>
      </c>
      <c r="B43" t="s">
        <v>391</v>
      </c>
      <c r="C43">
        <v>3.89</v>
      </c>
      <c r="D43">
        <v>-3.05</v>
      </c>
      <c r="E43">
        <v>5</v>
      </c>
    </row>
    <row r="44" spans="1:5" x14ac:dyDescent="0.25">
      <c r="A44" t="s">
        <v>42</v>
      </c>
      <c r="B44" t="s">
        <v>391</v>
      </c>
      <c r="C44">
        <v>4.67</v>
      </c>
      <c r="D44">
        <v>-4.22</v>
      </c>
      <c r="E44">
        <v>5</v>
      </c>
    </row>
    <row r="45" spans="1:5" x14ac:dyDescent="0.25">
      <c r="A45" t="s">
        <v>43</v>
      </c>
      <c r="B45" t="s">
        <v>391</v>
      </c>
      <c r="C45">
        <v>2.1</v>
      </c>
      <c r="D45">
        <v>-4.28</v>
      </c>
      <c r="E45">
        <v>3</v>
      </c>
    </row>
    <row r="46" spans="1:5" x14ac:dyDescent="0.25">
      <c r="A46" t="s">
        <v>44</v>
      </c>
      <c r="B46" t="s">
        <v>391</v>
      </c>
      <c r="C46">
        <v>3.89</v>
      </c>
      <c r="D46">
        <v>0.59</v>
      </c>
      <c r="E46">
        <v>3</v>
      </c>
    </row>
    <row r="47" spans="1:5" x14ac:dyDescent="0.25">
      <c r="A47" t="s">
        <v>45</v>
      </c>
      <c r="B47" t="s">
        <v>391</v>
      </c>
      <c r="C47">
        <v>1.98</v>
      </c>
      <c r="D47">
        <v>-1.1299999999999999</v>
      </c>
      <c r="E47">
        <v>5</v>
      </c>
    </row>
    <row r="48" spans="1:5" x14ac:dyDescent="0.25">
      <c r="A48" t="s">
        <v>46</v>
      </c>
      <c r="B48" t="s">
        <v>391</v>
      </c>
      <c r="C48">
        <v>2.5299999999999998</v>
      </c>
      <c r="D48">
        <v>-1.5</v>
      </c>
      <c r="E48">
        <v>5</v>
      </c>
    </row>
    <row r="49" spans="1:5" x14ac:dyDescent="0.25">
      <c r="A49" t="s">
        <v>47</v>
      </c>
      <c r="B49" t="s">
        <v>391</v>
      </c>
      <c r="C49">
        <v>1.99</v>
      </c>
      <c r="D49">
        <v>-0.72</v>
      </c>
      <c r="E49">
        <v>5</v>
      </c>
    </row>
    <row r="50" spans="1:5" x14ac:dyDescent="0.25">
      <c r="A50" t="s">
        <v>48</v>
      </c>
      <c r="B50" t="s">
        <v>391</v>
      </c>
      <c r="C50">
        <v>0.25</v>
      </c>
      <c r="D50">
        <v>-2.2000000000000002</v>
      </c>
      <c r="E50">
        <v>3</v>
      </c>
    </row>
    <row r="51" spans="1:5" x14ac:dyDescent="0.25">
      <c r="A51" t="s">
        <v>49</v>
      </c>
      <c r="B51" t="s">
        <v>391</v>
      </c>
      <c r="C51">
        <v>4.78</v>
      </c>
      <c r="D51">
        <v>0.3</v>
      </c>
      <c r="E51">
        <v>5</v>
      </c>
    </row>
    <row r="52" spans="1:5" x14ac:dyDescent="0.25">
      <c r="A52" t="s">
        <v>50</v>
      </c>
      <c r="B52" t="s">
        <v>391</v>
      </c>
      <c r="C52">
        <v>0.75</v>
      </c>
      <c r="D52">
        <v>-2.37</v>
      </c>
      <c r="E52">
        <v>5</v>
      </c>
    </row>
    <row r="53" spans="1:5" x14ac:dyDescent="0.25">
      <c r="A53" t="s">
        <v>51</v>
      </c>
      <c r="B53" t="s">
        <v>391</v>
      </c>
      <c r="C53">
        <v>0.77</v>
      </c>
      <c r="D53">
        <v>-1.54</v>
      </c>
      <c r="E53">
        <v>3</v>
      </c>
    </row>
    <row r="54" spans="1:5" x14ac:dyDescent="0.25">
      <c r="A54" t="s">
        <v>52</v>
      </c>
      <c r="B54" t="s">
        <v>391</v>
      </c>
      <c r="C54">
        <v>-0.84</v>
      </c>
      <c r="D54">
        <v>-3.35</v>
      </c>
      <c r="E54">
        <v>5</v>
      </c>
    </row>
    <row r="55" spans="1:5" x14ac:dyDescent="0.25">
      <c r="A55" t="s">
        <v>53</v>
      </c>
      <c r="B55" t="s">
        <v>391</v>
      </c>
      <c r="C55">
        <v>-0.46</v>
      </c>
      <c r="D55">
        <v>-2.67</v>
      </c>
      <c r="E55">
        <v>5</v>
      </c>
    </row>
    <row r="56" spans="1:5" x14ac:dyDescent="0.25">
      <c r="A56" t="s">
        <v>54</v>
      </c>
      <c r="B56" t="s">
        <v>391</v>
      </c>
      <c r="C56">
        <v>5.5</v>
      </c>
      <c r="D56">
        <v>1.04</v>
      </c>
      <c r="E56">
        <v>5</v>
      </c>
    </row>
    <row r="57" spans="1:5" x14ac:dyDescent="0.25">
      <c r="A57" t="s">
        <v>55</v>
      </c>
      <c r="B57" t="s">
        <v>391</v>
      </c>
      <c r="C57">
        <v>2.12</v>
      </c>
      <c r="D57">
        <v>-1.76</v>
      </c>
      <c r="E57">
        <v>5</v>
      </c>
    </row>
    <row r="58" spans="1:5" x14ac:dyDescent="0.25">
      <c r="A58" t="s">
        <v>56</v>
      </c>
      <c r="B58" t="s">
        <v>391</v>
      </c>
      <c r="C58">
        <v>1.4</v>
      </c>
      <c r="D58">
        <v>-1.31</v>
      </c>
      <c r="E58">
        <v>5</v>
      </c>
    </row>
    <row r="59" spans="1:5" x14ac:dyDescent="0.25">
      <c r="A59" t="s">
        <v>57</v>
      </c>
      <c r="B59" t="s">
        <v>391</v>
      </c>
      <c r="C59">
        <v>2.37</v>
      </c>
      <c r="D59">
        <v>-1.68</v>
      </c>
      <c r="E59">
        <v>5</v>
      </c>
    </row>
    <row r="60" spans="1:5" x14ac:dyDescent="0.25">
      <c r="A60" t="s">
        <v>58</v>
      </c>
      <c r="B60" t="s">
        <v>391</v>
      </c>
      <c r="C60">
        <v>1.45</v>
      </c>
      <c r="D60">
        <v>-0.99</v>
      </c>
      <c r="E60">
        <v>5</v>
      </c>
    </row>
    <row r="61" spans="1:5" x14ac:dyDescent="0.25">
      <c r="A61" t="s">
        <v>59</v>
      </c>
      <c r="B61" t="s">
        <v>391</v>
      </c>
      <c r="C61">
        <v>-0.61</v>
      </c>
      <c r="D61">
        <v>-2.74</v>
      </c>
      <c r="E61">
        <v>5</v>
      </c>
    </row>
    <row r="62" spans="1:5" x14ac:dyDescent="0.25">
      <c r="A62" t="s">
        <v>60</v>
      </c>
      <c r="B62" t="s">
        <v>391</v>
      </c>
      <c r="C62">
        <v>0.41</v>
      </c>
      <c r="D62">
        <v>-1.66</v>
      </c>
      <c r="E62">
        <v>3</v>
      </c>
    </row>
    <row r="63" spans="1:5" x14ac:dyDescent="0.25">
      <c r="A63" t="s">
        <v>61</v>
      </c>
      <c r="B63" t="s">
        <v>391</v>
      </c>
      <c r="C63">
        <v>0.75</v>
      </c>
      <c r="D63">
        <v>-2.5</v>
      </c>
      <c r="E63">
        <v>3</v>
      </c>
    </row>
    <row r="64" spans="1:5" x14ac:dyDescent="0.25">
      <c r="A64" t="s">
        <v>62</v>
      </c>
      <c r="B64" t="s">
        <v>391</v>
      </c>
      <c r="C64">
        <v>3.05</v>
      </c>
      <c r="D64">
        <v>-2.19</v>
      </c>
      <c r="E64">
        <v>2</v>
      </c>
    </row>
    <row r="65" spans="1:5" x14ac:dyDescent="0.25">
      <c r="A65" t="s">
        <v>63</v>
      </c>
      <c r="B65" t="s">
        <v>391</v>
      </c>
      <c r="C65">
        <v>0.51</v>
      </c>
      <c r="D65">
        <v>-0.28000000000000003</v>
      </c>
      <c r="E65">
        <v>3</v>
      </c>
    </row>
    <row r="66" spans="1:5" x14ac:dyDescent="0.25">
      <c r="A66" t="s">
        <v>64</v>
      </c>
      <c r="B66" t="s">
        <v>391</v>
      </c>
      <c r="C66">
        <v>13.59</v>
      </c>
      <c r="D66">
        <v>-3.47</v>
      </c>
      <c r="E66">
        <v>2</v>
      </c>
    </row>
    <row r="67" spans="1:5" x14ac:dyDescent="0.25">
      <c r="A67" t="s">
        <v>65</v>
      </c>
      <c r="B67" t="s">
        <v>391</v>
      </c>
      <c r="C67">
        <v>33.409999999999997</v>
      </c>
      <c r="D67">
        <v>-9.2200000000000006</v>
      </c>
      <c r="E67">
        <v>2</v>
      </c>
    </row>
    <row r="68" spans="1:5" x14ac:dyDescent="0.25">
      <c r="A68" t="s">
        <v>443</v>
      </c>
      <c r="B68" t="s">
        <v>391</v>
      </c>
      <c r="C68">
        <v>0.28000000000000003</v>
      </c>
      <c r="D68">
        <v>-0.39</v>
      </c>
      <c r="E68">
        <v>2</v>
      </c>
    </row>
    <row r="69" spans="1:5" x14ac:dyDescent="0.25">
      <c r="A69" t="s">
        <v>444</v>
      </c>
      <c r="B69" t="s">
        <v>391</v>
      </c>
      <c r="C69">
        <v>0.54</v>
      </c>
      <c r="D69">
        <v>-0.51</v>
      </c>
      <c r="E69">
        <v>3</v>
      </c>
    </row>
    <row r="70" spans="1:5" x14ac:dyDescent="0.25">
      <c r="A70" t="s">
        <v>178</v>
      </c>
      <c r="B70" t="s">
        <v>391</v>
      </c>
      <c r="C70">
        <v>9.1300000000000008</v>
      </c>
      <c r="D70">
        <v>-2.54</v>
      </c>
      <c r="E70">
        <v>5</v>
      </c>
    </row>
    <row r="71" spans="1:5" x14ac:dyDescent="0.25">
      <c r="A71" t="s">
        <v>445</v>
      </c>
      <c r="B71" t="s">
        <v>391</v>
      </c>
      <c r="C71">
        <v>73.53</v>
      </c>
      <c r="D71">
        <v>6.69</v>
      </c>
      <c r="E71">
        <v>5</v>
      </c>
    </row>
    <row r="72" spans="1:5" x14ac:dyDescent="0.25">
      <c r="A72" t="s">
        <v>216</v>
      </c>
      <c r="B72" t="s">
        <v>391</v>
      </c>
      <c r="C72">
        <v>28.16</v>
      </c>
      <c r="D72">
        <v>-28.16</v>
      </c>
      <c r="E72">
        <v>2</v>
      </c>
    </row>
    <row r="73" spans="1:5" x14ac:dyDescent="0.25">
      <c r="A73" t="s">
        <v>218</v>
      </c>
      <c r="B73" t="s">
        <v>391</v>
      </c>
      <c r="C73">
        <v>7.67</v>
      </c>
      <c r="D73">
        <v>-7.67</v>
      </c>
      <c r="E73">
        <v>2</v>
      </c>
    </row>
    <row r="74" spans="1:5" x14ac:dyDescent="0.25">
      <c r="A74" t="s">
        <v>219</v>
      </c>
      <c r="B74" t="s">
        <v>391</v>
      </c>
      <c r="C74">
        <v>130.41</v>
      </c>
      <c r="D74">
        <v>-130.41</v>
      </c>
      <c r="E74">
        <v>2</v>
      </c>
    </row>
    <row r="75" spans="1:5" x14ac:dyDescent="0.25">
      <c r="A75" t="s">
        <v>220</v>
      </c>
      <c r="B75" t="s">
        <v>391</v>
      </c>
      <c r="C75">
        <v>3.76</v>
      </c>
      <c r="D75">
        <v>-3.76</v>
      </c>
      <c r="E75">
        <v>4</v>
      </c>
    </row>
    <row r="76" spans="1:5" x14ac:dyDescent="0.25">
      <c r="A76" t="s">
        <v>78</v>
      </c>
      <c r="B76" t="s">
        <v>391</v>
      </c>
      <c r="C76">
        <v>2076.15</v>
      </c>
      <c r="D76">
        <v>-2076.15</v>
      </c>
      <c r="E76">
        <v>2</v>
      </c>
    </row>
    <row r="77" spans="1:5" x14ac:dyDescent="0.25">
      <c r="A77" t="s">
        <v>446</v>
      </c>
      <c r="B77" t="s">
        <v>391</v>
      </c>
      <c r="C77">
        <v>5.05</v>
      </c>
      <c r="D77">
        <v>-2.31</v>
      </c>
      <c r="E77">
        <v>4</v>
      </c>
    </row>
    <row r="78" spans="1:5" x14ac:dyDescent="0.25">
      <c r="A78" t="s">
        <v>213</v>
      </c>
      <c r="B78" t="s">
        <v>391</v>
      </c>
      <c r="C78">
        <v>-7.0000000000000007E-2</v>
      </c>
      <c r="D78">
        <v>-0.75</v>
      </c>
      <c r="E78">
        <v>3</v>
      </c>
    </row>
    <row r="79" spans="1:5" x14ac:dyDescent="0.25">
      <c r="A79" t="s">
        <v>232</v>
      </c>
      <c r="B79" t="s">
        <v>391</v>
      </c>
      <c r="C79">
        <v>-3.94</v>
      </c>
      <c r="D79">
        <v>-9.27</v>
      </c>
      <c r="E79">
        <v>4</v>
      </c>
    </row>
    <row r="80" spans="1:5" x14ac:dyDescent="0.25">
      <c r="A80" t="s">
        <v>230</v>
      </c>
      <c r="B80" t="s">
        <v>391</v>
      </c>
      <c r="C80">
        <v>6.44</v>
      </c>
      <c r="D80">
        <v>1.88</v>
      </c>
      <c r="E80">
        <v>1</v>
      </c>
    </row>
    <row r="81" spans="1:5" x14ac:dyDescent="0.25">
      <c r="A81" t="s">
        <v>228</v>
      </c>
      <c r="B81" t="s">
        <v>391</v>
      </c>
      <c r="C81">
        <v>7.02</v>
      </c>
      <c r="D81">
        <v>2.64</v>
      </c>
      <c r="E81">
        <v>4</v>
      </c>
    </row>
    <row r="82" spans="1:5" x14ac:dyDescent="0.25">
      <c r="A82" t="s">
        <v>225</v>
      </c>
      <c r="B82" t="s">
        <v>391</v>
      </c>
      <c r="C82">
        <v>17.28</v>
      </c>
      <c r="D82">
        <v>2.1800000000000002</v>
      </c>
      <c r="E82">
        <v>5</v>
      </c>
    </row>
    <row r="83" spans="1:5" x14ac:dyDescent="0.25">
      <c r="A83" t="s">
        <v>214</v>
      </c>
      <c r="B83" t="s">
        <v>391</v>
      </c>
      <c r="C83">
        <v>7.98</v>
      </c>
      <c r="D83">
        <v>4.1399999999999997</v>
      </c>
      <c r="E83">
        <v>4</v>
      </c>
    </row>
    <row r="84" spans="1:5" x14ac:dyDescent="0.25">
      <c r="A84" t="s">
        <v>237</v>
      </c>
      <c r="B84" t="s">
        <v>391</v>
      </c>
      <c r="C84">
        <v>1.59</v>
      </c>
      <c r="D84">
        <v>-1.4</v>
      </c>
      <c r="E84">
        <v>5</v>
      </c>
    </row>
    <row r="85" spans="1:5" x14ac:dyDescent="0.25">
      <c r="A85" t="s">
        <v>215</v>
      </c>
      <c r="B85" t="s">
        <v>391</v>
      </c>
      <c r="C85">
        <v>10.79</v>
      </c>
      <c r="D85">
        <v>0.39</v>
      </c>
      <c r="E85">
        <v>2</v>
      </c>
    </row>
    <row r="86" spans="1:5" x14ac:dyDescent="0.25">
      <c r="A86" t="s">
        <v>447</v>
      </c>
      <c r="B86" t="s">
        <v>391</v>
      </c>
      <c r="C86">
        <v>-8.5299999999999994</v>
      </c>
      <c r="D86">
        <v>-14.28</v>
      </c>
      <c r="E86">
        <v>3</v>
      </c>
    </row>
    <row r="87" spans="1:5" x14ac:dyDescent="0.25">
      <c r="A87" t="s">
        <v>448</v>
      </c>
      <c r="B87" t="s">
        <v>391</v>
      </c>
      <c r="C87">
        <v>1.41</v>
      </c>
      <c r="D87">
        <v>0.24</v>
      </c>
      <c r="E87">
        <v>3</v>
      </c>
    </row>
    <row r="88" spans="1:5" x14ac:dyDescent="0.25">
      <c r="A88" t="s">
        <v>66</v>
      </c>
      <c r="B88" t="s">
        <v>391</v>
      </c>
      <c r="C88">
        <v>-0.82</v>
      </c>
      <c r="D88">
        <v>-2.27</v>
      </c>
      <c r="E88">
        <v>0</v>
      </c>
    </row>
    <row r="89" spans="1:5" x14ac:dyDescent="0.25">
      <c r="A89" t="s">
        <v>67</v>
      </c>
      <c r="B89" t="s">
        <v>391</v>
      </c>
      <c r="C89">
        <v>68.150000000000006</v>
      </c>
      <c r="D89">
        <v>-135.44</v>
      </c>
      <c r="E89">
        <v>2</v>
      </c>
    </row>
    <row r="90" spans="1:5" x14ac:dyDescent="0.25">
      <c r="A90" t="s">
        <v>68</v>
      </c>
      <c r="B90" t="s">
        <v>391</v>
      </c>
      <c r="C90">
        <v>65.88</v>
      </c>
      <c r="D90">
        <v>-129.61000000000001</v>
      </c>
      <c r="E90">
        <v>2</v>
      </c>
    </row>
    <row r="91" spans="1:5" x14ac:dyDescent="0.25">
      <c r="A91" t="s">
        <v>69</v>
      </c>
      <c r="B91" t="s">
        <v>391</v>
      </c>
      <c r="C91">
        <v>19.239999999999998</v>
      </c>
      <c r="D91">
        <v>-342.13</v>
      </c>
      <c r="E91">
        <v>2</v>
      </c>
    </row>
    <row r="92" spans="1:5" x14ac:dyDescent="0.25">
      <c r="A92" t="s">
        <v>70</v>
      </c>
      <c r="B92" t="s">
        <v>391</v>
      </c>
      <c r="C92">
        <v>1.71</v>
      </c>
      <c r="D92">
        <v>-1.56</v>
      </c>
      <c r="E92">
        <v>0</v>
      </c>
    </row>
    <row r="93" spans="1:5" x14ac:dyDescent="0.25">
      <c r="A93" t="s">
        <v>71</v>
      </c>
      <c r="B93" t="s">
        <v>391</v>
      </c>
      <c r="C93">
        <v>49.09</v>
      </c>
      <c r="D93">
        <v>-47.98</v>
      </c>
      <c r="E93">
        <v>2</v>
      </c>
    </row>
    <row r="94" spans="1:5" x14ac:dyDescent="0.25">
      <c r="A94" t="s">
        <v>72</v>
      </c>
      <c r="B94" t="s">
        <v>391</v>
      </c>
      <c r="C94">
        <v>-204.01</v>
      </c>
      <c r="D94">
        <v>-294.38</v>
      </c>
      <c r="E94">
        <v>2</v>
      </c>
    </row>
    <row r="95" spans="1:5" x14ac:dyDescent="0.25">
      <c r="A95" t="s">
        <v>73</v>
      </c>
      <c r="B95" t="s">
        <v>391</v>
      </c>
      <c r="C95">
        <v>17.86</v>
      </c>
      <c r="D95">
        <v>-35.5</v>
      </c>
      <c r="E95">
        <v>2</v>
      </c>
    </row>
    <row r="96" spans="1:5" x14ac:dyDescent="0.25">
      <c r="A96" t="s">
        <v>74</v>
      </c>
      <c r="B96" t="s">
        <v>391</v>
      </c>
      <c r="C96">
        <v>-21.19</v>
      </c>
      <c r="D96">
        <v>-78.84</v>
      </c>
      <c r="E96">
        <v>2</v>
      </c>
    </row>
    <row r="97" spans="1:5" x14ac:dyDescent="0.25">
      <c r="A97" t="s">
        <v>75</v>
      </c>
      <c r="B97" t="s">
        <v>391</v>
      </c>
      <c r="C97">
        <v>259.29000000000002</v>
      </c>
      <c r="D97">
        <v>-233.89</v>
      </c>
      <c r="E97">
        <v>2</v>
      </c>
    </row>
    <row r="98" spans="1:5" x14ac:dyDescent="0.25">
      <c r="A98" t="s">
        <v>76</v>
      </c>
      <c r="B98" t="s">
        <v>391</v>
      </c>
      <c r="C98">
        <v>28.72</v>
      </c>
      <c r="D98">
        <v>-57.07</v>
      </c>
      <c r="E98">
        <v>2</v>
      </c>
    </row>
    <row r="99" spans="1:5" x14ac:dyDescent="0.25">
      <c r="A99" t="s">
        <v>77</v>
      </c>
      <c r="B99" t="s">
        <v>391</v>
      </c>
      <c r="C99">
        <v>55.99</v>
      </c>
      <c r="D99">
        <v>-88.09</v>
      </c>
      <c r="E99">
        <v>2</v>
      </c>
    </row>
    <row r="100" spans="1:5" x14ac:dyDescent="0.25">
      <c r="A100" t="s">
        <v>449</v>
      </c>
      <c r="B100" t="s">
        <v>391</v>
      </c>
      <c r="C100">
        <v>161.80000000000001</v>
      </c>
      <c r="D100">
        <v>-254.56</v>
      </c>
      <c r="E100">
        <v>2</v>
      </c>
    </row>
    <row r="101" spans="1:5" x14ac:dyDescent="0.25">
      <c r="A101" t="s">
        <v>79</v>
      </c>
      <c r="B101" t="s">
        <v>391</v>
      </c>
      <c r="C101">
        <v>-15.25</v>
      </c>
      <c r="D101">
        <v>-35.19</v>
      </c>
      <c r="E101">
        <v>3</v>
      </c>
    </row>
    <row r="102" spans="1:5" x14ac:dyDescent="0.25">
      <c r="A102" t="s">
        <v>80</v>
      </c>
      <c r="B102" t="s">
        <v>391</v>
      </c>
      <c r="C102">
        <v>-3.85</v>
      </c>
      <c r="D102">
        <v>-17.690000000000001</v>
      </c>
      <c r="E102">
        <v>3</v>
      </c>
    </row>
    <row r="103" spans="1:5" x14ac:dyDescent="0.25">
      <c r="A103" t="s">
        <v>391</v>
      </c>
      <c r="B103" t="s">
        <v>391</v>
      </c>
      <c r="C103">
        <v>0</v>
      </c>
      <c r="D103">
        <v>0</v>
      </c>
      <c r="E103">
        <v>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24"/>
  <sheetViews>
    <sheetView workbookViewId="0">
      <selection activeCell="N16" sqref="N16"/>
    </sheetView>
  </sheetViews>
  <sheetFormatPr defaultRowHeight="15" x14ac:dyDescent="0.25"/>
  <cols>
    <col min="1" max="1" width="9.42578125" customWidth="1"/>
  </cols>
  <sheetData>
    <row r="1" spans="1:2" x14ac:dyDescent="0.25">
      <c r="A1" s="2" t="s">
        <v>184</v>
      </c>
      <c r="B1" s="2" t="s">
        <v>183</v>
      </c>
    </row>
    <row r="2" spans="1:2" x14ac:dyDescent="0.25">
      <c r="A2" s="1" t="s">
        <v>183</v>
      </c>
      <c r="B2" s="1">
        <v>1</v>
      </c>
    </row>
    <row r="3" spans="1:2" x14ac:dyDescent="0.25">
      <c r="A3" s="1" t="s">
        <v>185</v>
      </c>
      <c r="B3" s="1">
        <f>1/107</f>
        <v>9.3457943925233638E-3</v>
      </c>
    </row>
    <row r="4" spans="1:2" x14ac:dyDescent="0.25">
      <c r="A4" s="1" t="s">
        <v>186</v>
      </c>
      <c r="B4" s="1">
        <v>1.2367999999999999</v>
      </c>
    </row>
    <row r="5" spans="1:2" x14ac:dyDescent="0.25">
      <c r="A5" s="1" t="s">
        <v>187</v>
      </c>
      <c r="B5" s="1">
        <v>1.6E-2</v>
      </c>
    </row>
    <row r="6" spans="1:2" x14ac:dyDescent="0.25">
      <c r="A6" s="1" t="s">
        <v>188</v>
      </c>
      <c r="B6" s="1">
        <v>1.05</v>
      </c>
    </row>
    <row r="7" spans="1:2" x14ac:dyDescent="0.25">
      <c r="A7" s="1" t="s">
        <v>189</v>
      </c>
      <c r="B7" s="1">
        <v>0.12</v>
      </c>
    </row>
    <row r="8" spans="1:2" x14ac:dyDescent="0.25">
      <c r="A8" s="1" t="s">
        <v>190</v>
      </c>
      <c r="B8" s="1">
        <v>0.13</v>
      </c>
    </row>
    <row r="9" spans="1:2" x14ac:dyDescent="0.25">
      <c r="A9" s="1" t="s">
        <v>191</v>
      </c>
      <c r="B9" s="1">
        <v>0.76</v>
      </c>
    </row>
    <row r="10" spans="1:2" x14ac:dyDescent="0.25">
      <c r="A10" s="1" t="s">
        <v>192</v>
      </c>
      <c r="B10" s="1">
        <v>4.9000000000000002E-2</v>
      </c>
    </row>
    <row r="11" spans="1:2" x14ac:dyDescent="0.25">
      <c r="A11" s="1" t="s">
        <v>193</v>
      </c>
      <c r="B11" s="1">
        <v>0.17</v>
      </c>
    </row>
    <row r="12" spans="1:2" x14ac:dyDescent="0.25">
      <c r="A12" s="1" t="s">
        <v>194</v>
      </c>
      <c r="B12" s="1">
        <v>0.13</v>
      </c>
    </row>
    <row r="13" spans="1:2" x14ac:dyDescent="0.25">
      <c r="A13" s="1" t="s">
        <v>195</v>
      </c>
      <c r="B13" s="1">
        <v>4.0000000000000001E-3</v>
      </c>
    </row>
    <row r="14" spans="1:2" x14ac:dyDescent="0.25">
      <c r="A14" s="1" t="s">
        <v>196</v>
      </c>
      <c r="B14" s="1">
        <v>0.3</v>
      </c>
    </row>
    <row r="15" spans="1:2" x14ac:dyDescent="0.25">
      <c r="A15" s="1" t="s">
        <v>197</v>
      </c>
      <c r="B15" s="1">
        <v>0.19047619047619047</v>
      </c>
    </row>
    <row r="16" spans="1:2" x14ac:dyDescent="0.25">
      <c r="A16" s="1" t="s">
        <v>198</v>
      </c>
      <c r="B16" s="1">
        <v>5.5E-2</v>
      </c>
    </row>
    <row r="17" spans="1:2" x14ac:dyDescent="0.25">
      <c r="A17" s="1" t="s">
        <v>199</v>
      </c>
      <c r="B17" s="1">
        <v>0.74</v>
      </c>
    </row>
    <row r="18" spans="1:2" x14ac:dyDescent="0.25">
      <c r="A18" s="1" t="s">
        <v>200</v>
      </c>
      <c r="B18" s="1">
        <v>8.3000000000000004E-2</v>
      </c>
    </row>
    <row r="19" spans="1:2" x14ac:dyDescent="0.25">
      <c r="A19" s="1" t="s">
        <v>201</v>
      </c>
      <c r="B19" s="1">
        <v>1.42</v>
      </c>
    </row>
    <row r="20" spans="1:2" x14ac:dyDescent="0.25">
      <c r="A20" s="1" t="s">
        <v>202</v>
      </c>
      <c r="B20" s="1">
        <f>1/6.2743</f>
        <v>0.15938032927976029</v>
      </c>
    </row>
    <row r="21" spans="1:2" x14ac:dyDescent="0.25">
      <c r="A21" s="1" t="s">
        <v>203</v>
      </c>
      <c r="B21" s="1">
        <v>0.78</v>
      </c>
    </row>
    <row r="22" spans="1:2" x14ac:dyDescent="0.25">
      <c r="A22" s="1" t="s">
        <v>204</v>
      </c>
      <c r="B22" s="1">
        <v>0.79</v>
      </c>
    </row>
    <row r="23" spans="1:2" x14ac:dyDescent="0.25">
      <c r="A23" s="6" t="s">
        <v>209</v>
      </c>
      <c r="B23" s="6">
        <v>3.4000000000000002E-2</v>
      </c>
    </row>
    <row r="24" spans="1:2" x14ac:dyDescent="0.25">
      <c r="A24" s="6" t="s">
        <v>282</v>
      </c>
      <c r="B24" s="30">
        <v>7500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84"/>
  <sheetViews>
    <sheetView workbookViewId="0">
      <pane ySplit="1" topLeftCell="A14" activePane="bottomLeft" state="frozen"/>
      <selection pane="bottomLeft" activeCell="L32" sqref="L32"/>
    </sheetView>
  </sheetViews>
  <sheetFormatPr defaultRowHeight="15" x14ac:dyDescent="0.25"/>
  <cols>
    <col min="1" max="1" width="21.7109375" style="9" bestFit="1" customWidth="1"/>
    <col min="2" max="2" width="17.42578125" style="9" bestFit="1" customWidth="1"/>
    <col min="3" max="4" width="17.42578125" style="9" customWidth="1"/>
    <col min="5" max="5" width="11.140625" style="9" customWidth="1"/>
    <col min="6" max="6" width="11.7109375" style="9" customWidth="1"/>
    <col min="7" max="7" width="12.85546875" style="9" bestFit="1" customWidth="1"/>
    <col min="8" max="8" width="12.42578125" style="9" bestFit="1" customWidth="1"/>
    <col min="9" max="9" width="9.140625" style="9"/>
    <col min="10" max="10" width="8.7109375" customWidth="1"/>
    <col min="11" max="11" width="12.42578125" bestFit="1" customWidth="1"/>
    <col min="12" max="12" width="6" bestFit="1" customWidth="1"/>
  </cols>
  <sheetData>
    <row r="1" spans="1:10" ht="30" x14ac:dyDescent="0.25">
      <c r="A1" s="12" t="s">
        <v>177</v>
      </c>
      <c r="B1" s="12" t="s">
        <v>176</v>
      </c>
      <c r="C1" s="12" t="s">
        <v>180</v>
      </c>
      <c r="D1" s="12" t="s">
        <v>181</v>
      </c>
      <c r="E1" s="12" t="s">
        <v>171</v>
      </c>
      <c r="F1" s="12" t="s">
        <v>172</v>
      </c>
      <c r="G1" s="12" t="s">
        <v>173</v>
      </c>
      <c r="H1" s="12" t="s">
        <v>174</v>
      </c>
      <c r="I1" s="12" t="s">
        <v>175</v>
      </c>
      <c r="J1" s="12" t="s">
        <v>184</v>
      </c>
    </row>
    <row r="2" spans="1:10" x14ac:dyDescent="0.25">
      <c r="A2" s="4" t="s">
        <v>47</v>
      </c>
      <c r="B2" s="3" t="s">
        <v>143</v>
      </c>
      <c r="C2" s="4">
        <v>100000</v>
      </c>
      <c r="D2" s="4">
        <v>5</v>
      </c>
      <c r="E2" s="3">
        <v>-2.2122998928699564</v>
      </c>
      <c r="F2" s="3">
        <v>-0.72285245342116444</v>
      </c>
      <c r="G2" s="1" t="s">
        <v>165</v>
      </c>
      <c r="H2" s="1">
        <v>100000</v>
      </c>
      <c r="I2" s="1">
        <v>5</v>
      </c>
      <c r="J2" s="1" t="s">
        <v>204</v>
      </c>
    </row>
    <row r="3" spans="1:10" x14ac:dyDescent="0.25">
      <c r="A3" s="4" t="s">
        <v>53</v>
      </c>
      <c r="B3" s="3" t="s">
        <v>149</v>
      </c>
      <c r="C3" s="4">
        <v>100000</v>
      </c>
      <c r="D3" s="4">
        <v>5</v>
      </c>
      <c r="E3" s="3">
        <v>0.38633967373097683</v>
      </c>
      <c r="F3" s="3">
        <v>-2.8696894656505201</v>
      </c>
      <c r="G3" s="1" t="s">
        <v>165</v>
      </c>
      <c r="H3" s="1">
        <v>100000</v>
      </c>
      <c r="I3" s="1">
        <v>5</v>
      </c>
      <c r="J3" s="1" t="s">
        <v>188</v>
      </c>
    </row>
    <row r="4" spans="1:10" x14ac:dyDescent="0.25">
      <c r="A4" s="4" t="s">
        <v>51</v>
      </c>
      <c r="B4" s="3" t="s">
        <v>147</v>
      </c>
      <c r="C4" s="4">
        <v>100000</v>
      </c>
      <c r="D4" s="4">
        <v>3</v>
      </c>
      <c r="E4" s="3">
        <v>-0.99297086354240605</v>
      </c>
      <c r="F4" s="3">
        <v>-1.493235929086153</v>
      </c>
      <c r="G4" s="1" t="s">
        <v>165</v>
      </c>
      <c r="H4" s="1">
        <v>100000</v>
      </c>
      <c r="I4" s="1">
        <v>3</v>
      </c>
      <c r="J4" s="1" t="s">
        <v>185</v>
      </c>
    </row>
    <row r="5" spans="1:10" x14ac:dyDescent="0.25">
      <c r="A5" s="4" t="s">
        <v>45</v>
      </c>
      <c r="B5" s="3" t="s">
        <v>141</v>
      </c>
      <c r="C5" s="4">
        <v>100000</v>
      </c>
      <c r="D5" s="4">
        <v>5</v>
      </c>
      <c r="E5" s="3">
        <v>-2.3368865877605836</v>
      </c>
      <c r="F5" s="3">
        <v>-1.0502183417609816</v>
      </c>
      <c r="G5" s="1" t="s">
        <v>165</v>
      </c>
      <c r="H5" s="1">
        <v>100000</v>
      </c>
      <c r="I5" s="1">
        <v>5</v>
      </c>
      <c r="J5" s="1" t="s">
        <v>199</v>
      </c>
    </row>
    <row r="6" spans="1:10" x14ac:dyDescent="0.25">
      <c r="A6" s="4" t="s">
        <v>46</v>
      </c>
      <c r="B6" s="3" t="s">
        <v>142</v>
      </c>
      <c r="C6" s="4">
        <v>100000</v>
      </c>
      <c r="D6" s="4">
        <v>5</v>
      </c>
      <c r="E6" s="3">
        <v>-3.011809474130807</v>
      </c>
      <c r="F6" s="3">
        <v>-1.4674831579582379</v>
      </c>
      <c r="G6" s="1" t="s">
        <v>165</v>
      </c>
      <c r="H6" s="1">
        <v>100000</v>
      </c>
      <c r="I6" s="1">
        <v>5</v>
      </c>
      <c r="J6" s="1" t="s">
        <v>191</v>
      </c>
    </row>
    <row r="7" spans="1:10" x14ac:dyDescent="0.25">
      <c r="A7" s="4" t="s">
        <v>57</v>
      </c>
      <c r="B7" s="3" t="s">
        <v>153</v>
      </c>
      <c r="C7" s="4">
        <v>100000</v>
      </c>
      <c r="D7" s="4">
        <v>5</v>
      </c>
      <c r="E7" s="3">
        <v>-2.6974731319759617</v>
      </c>
      <c r="F7" s="3">
        <v>-1.7193406353758436</v>
      </c>
      <c r="G7" s="1" t="s">
        <v>165</v>
      </c>
      <c r="H7" s="1">
        <v>100000</v>
      </c>
      <c r="I7" s="1">
        <v>5</v>
      </c>
      <c r="J7" s="1" t="s">
        <v>183</v>
      </c>
    </row>
    <row r="8" spans="1:10" x14ac:dyDescent="0.25">
      <c r="A8" s="4" t="s">
        <v>52</v>
      </c>
      <c r="B8" s="3" t="s">
        <v>148</v>
      </c>
      <c r="C8" s="4">
        <v>100000</v>
      </c>
      <c r="D8" s="4">
        <v>5</v>
      </c>
      <c r="E8" s="3">
        <v>0.77753245339741472</v>
      </c>
      <c r="F8" s="3">
        <v>-3.6418486861958597</v>
      </c>
      <c r="G8" s="1" t="s">
        <v>165</v>
      </c>
      <c r="H8" s="1">
        <v>100000</v>
      </c>
      <c r="I8" s="1">
        <v>5</v>
      </c>
      <c r="J8" s="1" t="s">
        <v>188</v>
      </c>
    </row>
    <row r="9" spans="1:10" x14ac:dyDescent="0.25">
      <c r="A9" s="4" t="s">
        <v>48</v>
      </c>
      <c r="B9" s="3" t="s">
        <v>144</v>
      </c>
      <c r="C9" s="4">
        <v>100000</v>
      </c>
      <c r="D9" s="4">
        <v>3</v>
      </c>
      <c r="E9" s="3">
        <v>-0.35838258357273572</v>
      </c>
      <c r="F9" s="3">
        <v>-2.277252110726244</v>
      </c>
      <c r="G9" s="1" t="s">
        <v>165</v>
      </c>
      <c r="H9" s="1">
        <v>100000</v>
      </c>
      <c r="I9" s="1">
        <v>3</v>
      </c>
      <c r="J9" s="1" t="s">
        <v>185</v>
      </c>
    </row>
    <row r="10" spans="1:10" x14ac:dyDescent="0.25">
      <c r="A10" s="4" t="s">
        <v>9</v>
      </c>
      <c r="B10" s="3" t="s">
        <v>105</v>
      </c>
      <c r="C10" s="4">
        <v>100000</v>
      </c>
      <c r="D10" s="4">
        <v>5</v>
      </c>
      <c r="E10" s="3">
        <v>6.8179926472504704E-2</v>
      </c>
      <c r="F10" s="3">
        <v>-1.7969398782756234</v>
      </c>
      <c r="G10" s="1" t="s">
        <v>165</v>
      </c>
      <c r="H10" s="1">
        <v>100000</v>
      </c>
      <c r="I10" s="1">
        <v>5</v>
      </c>
      <c r="J10" s="1" t="s">
        <v>191</v>
      </c>
    </row>
    <row r="11" spans="1:10" x14ac:dyDescent="0.25">
      <c r="A11" s="4" t="s">
        <v>44</v>
      </c>
      <c r="B11" s="3" t="s">
        <v>140</v>
      </c>
      <c r="C11" s="4">
        <v>100000</v>
      </c>
      <c r="D11" s="4">
        <v>3</v>
      </c>
      <c r="E11" s="3">
        <v>-4.4263878657013054</v>
      </c>
      <c r="F11" s="3">
        <v>0.6100597197000458</v>
      </c>
      <c r="G11" s="1" t="s">
        <v>165</v>
      </c>
      <c r="H11" s="1">
        <v>100000</v>
      </c>
      <c r="I11" s="1">
        <v>3</v>
      </c>
      <c r="J11" s="1" t="s">
        <v>185</v>
      </c>
    </row>
    <row r="12" spans="1:10" x14ac:dyDescent="0.25">
      <c r="A12" s="7" t="s">
        <v>178</v>
      </c>
      <c r="B12" s="7" t="s">
        <v>166</v>
      </c>
      <c r="C12" s="11" t="s">
        <v>182</v>
      </c>
      <c r="D12" s="11" t="s">
        <v>182</v>
      </c>
      <c r="E12" s="8">
        <v>-9.9961491231359361</v>
      </c>
      <c r="F12" s="8">
        <v>-2.7816804074835426</v>
      </c>
      <c r="G12" s="7" t="s">
        <v>165</v>
      </c>
      <c r="H12" s="7">
        <v>100000</v>
      </c>
      <c r="I12" s="7">
        <v>5</v>
      </c>
      <c r="J12" s="11" t="s">
        <v>191</v>
      </c>
    </row>
    <row r="13" spans="1:10" x14ac:dyDescent="0.25">
      <c r="A13" s="4" t="s">
        <v>49</v>
      </c>
      <c r="B13" s="3" t="s">
        <v>145</v>
      </c>
      <c r="C13" s="4">
        <v>100000</v>
      </c>
      <c r="D13" s="4">
        <v>5</v>
      </c>
      <c r="E13" s="3">
        <v>-5.230694381801821</v>
      </c>
      <c r="F13" s="3">
        <v>0.23281414133689052</v>
      </c>
      <c r="G13" s="1" t="s">
        <v>165</v>
      </c>
      <c r="H13" s="1">
        <v>100000</v>
      </c>
      <c r="I13" s="1">
        <v>5</v>
      </c>
      <c r="J13" s="1" t="s">
        <v>203</v>
      </c>
    </row>
    <row r="14" spans="1:10" x14ac:dyDescent="0.25">
      <c r="A14" s="4" t="s">
        <v>54</v>
      </c>
      <c r="B14" s="3" t="s">
        <v>150</v>
      </c>
      <c r="C14" s="4">
        <v>100000</v>
      </c>
      <c r="D14" s="4">
        <v>5</v>
      </c>
      <c r="E14" s="3">
        <v>-6.0707872774453193</v>
      </c>
      <c r="F14" s="3">
        <v>0.94364419287312584</v>
      </c>
      <c r="G14" s="1" t="s">
        <v>165</v>
      </c>
      <c r="H14" s="1">
        <v>100000</v>
      </c>
      <c r="I14" s="1">
        <v>5</v>
      </c>
      <c r="J14" s="1" t="s">
        <v>204</v>
      </c>
    </row>
    <row r="15" spans="1:10" x14ac:dyDescent="0.25">
      <c r="A15" s="4" t="s">
        <v>50</v>
      </c>
      <c r="B15" s="3" t="s">
        <v>146</v>
      </c>
      <c r="C15" s="4">
        <v>100000</v>
      </c>
      <c r="D15" s="4">
        <v>5</v>
      </c>
      <c r="E15" s="3">
        <v>-0.86935349012011298</v>
      </c>
      <c r="F15" s="3">
        <v>-2.5804117414141996</v>
      </c>
      <c r="G15" s="1" t="s">
        <v>165</v>
      </c>
      <c r="H15" s="1">
        <v>100000</v>
      </c>
      <c r="I15" s="1">
        <v>5</v>
      </c>
      <c r="J15" s="1" t="s">
        <v>188</v>
      </c>
    </row>
    <row r="16" spans="1:10" x14ac:dyDescent="0.25">
      <c r="A16" s="4" t="s">
        <v>26</v>
      </c>
      <c r="B16" s="3" t="s">
        <v>122</v>
      </c>
      <c r="C16" s="4">
        <v>100000</v>
      </c>
      <c r="D16" s="4">
        <v>5</v>
      </c>
      <c r="E16" s="3">
        <v>-4.0398729504375765</v>
      </c>
      <c r="F16" s="3">
        <v>-0.36887968383155345</v>
      </c>
      <c r="G16" s="1" t="s">
        <v>165</v>
      </c>
      <c r="H16" s="1">
        <v>100000</v>
      </c>
      <c r="I16" s="1">
        <v>5</v>
      </c>
      <c r="J16" s="1" t="s">
        <v>201</v>
      </c>
    </row>
    <row r="17" spans="1:10" x14ac:dyDescent="0.25">
      <c r="A17" s="4" t="s">
        <v>30</v>
      </c>
      <c r="B17" s="3" t="s">
        <v>126</v>
      </c>
      <c r="C17" s="4">
        <v>100000</v>
      </c>
      <c r="D17" s="4">
        <v>3</v>
      </c>
      <c r="E17" s="3">
        <v>-3.8916137866037777</v>
      </c>
      <c r="F17" s="3">
        <v>-3.4247788959889239E-2</v>
      </c>
      <c r="G17" s="1" t="s">
        <v>165</v>
      </c>
      <c r="H17" s="1">
        <v>100000</v>
      </c>
      <c r="I17" s="1">
        <v>3</v>
      </c>
      <c r="J17" s="1" t="s">
        <v>185</v>
      </c>
    </row>
    <row r="18" spans="1:10" x14ac:dyDescent="0.25">
      <c r="A18" s="4" t="s">
        <v>32</v>
      </c>
      <c r="B18" s="3" t="s">
        <v>128</v>
      </c>
      <c r="C18" s="4">
        <v>100000</v>
      </c>
      <c r="D18" s="4">
        <v>5</v>
      </c>
      <c r="E18" s="3">
        <v>-6.6811609153331046</v>
      </c>
      <c r="F18" s="3">
        <v>0.8177426010901685</v>
      </c>
      <c r="G18" s="1" t="s">
        <v>165</v>
      </c>
      <c r="H18" s="1">
        <v>100000</v>
      </c>
      <c r="I18" s="1">
        <v>5</v>
      </c>
      <c r="J18" s="1" t="s">
        <v>199</v>
      </c>
    </row>
    <row r="19" spans="1:10" x14ac:dyDescent="0.25">
      <c r="A19" s="4" t="s">
        <v>34</v>
      </c>
      <c r="B19" s="3" t="s">
        <v>130</v>
      </c>
      <c r="C19" s="4">
        <v>100000</v>
      </c>
      <c r="D19" s="4">
        <v>5</v>
      </c>
      <c r="E19" s="3">
        <v>-7.5830783685639425</v>
      </c>
      <c r="F19" s="3">
        <v>0.19986701517895775</v>
      </c>
      <c r="G19" s="1" t="s">
        <v>165</v>
      </c>
      <c r="H19" s="1">
        <v>100000</v>
      </c>
      <c r="I19" s="1">
        <v>5</v>
      </c>
      <c r="J19" s="1" t="s">
        <v>191</v>
      </c>
    </row>
    <row r="20" spans="1:10" x14ac:dyDescent="0.25">
      <c r="A20" s="4" t="s">
        <v>31</v>
      </c>
      <c r="B20" s="3" t="s">
        <v>127</v>
      </c>
      <c r="C20" s="4">
        <v>100000</v>
      </c>
      <c r="D20" s="4">
        <v>5</v>
      </c>
      <c r="E20" s="3">
        <v>-5.498363940630612</v>
      </c>
      <c r="F20" s="3">
        <v>0.56295416455494884</v>
      </c>
      <c r="G20" s="65" t="s">
        <v>419</v>
      </c>
      <c r="H20" s="1">
        <v>100000</v>
      </c>
      <c r="I20" s="1">
        <v>5</v>
      </c>
      <c r="J20" s="1" t="s">
        <v>183</v>
      </c>
    </row>
    <row r="21" spans="1:10" x14ac:dyDescent="0.25">
      <c r="A21" s="4" t="s">
        <v>38</v>
      </c>
      <c r="B21" s="3" t="s">
        <v>134</v>
      </c>
      <c r="C21" s="4">
        <v>100000</v>
      </c>
      <c r="D21" s="4">
        <v>5</v>
      </c>
      <c r="E21" s="3">
        <v>-3.6772002664354888</v>
      </c>
      <c r="F21" s="3">
        <v>-5.0869337005155231</v>
      </c>
      <c r="G21" s="1" t="s">
        <v>165</v>
      </c>
      <c r="H21" s="1">
        <v>100000</v>
      </c>
      <c r="I21" s="1">
        <v>5</v>
      </c>
      <c r="J21" s="1" t="s">
        <v>203</v>
      </c>
    </row>
    <row r="22" spans="1:10" x14ac:dyDescent="0.25">
      <c r="A22" s="4" t="s">
        <v>39</v>
      </c>
      <c r="B22" s="3" t="s">
        <v>135</v>
      </c>
      <c r="C22" s="4">
        <v>100000</v>
      </c>
      <c r="D22" s="4">
        <v>5</v>
      </c>
      <c r="E22" s="3">
        <v>-4.8260835034376335</v>
      </c>
      <c r="F22" s="3">
        <v>-3.4024948160159685</v>
      </c>
      <c r="G22" s="1" t="s">
        <v>165</v>
      </c>
      <c r="H22" s="1">
        <v>100000</v>
      </c>
      <c r="I22" s="1">
        <v>5</v>
      </c>
      <c r="J22" s="1" t="s">
        <v>204</v>
      </c>
    </row>
    <row r="23" spans="1:10" x14ac:dyDescent="0.25">
      <c r="A23" s="4" t="s">
        <v>40</v>
      </c>
      <c r="B23" s="3" t="s">
        <v>136</v>
      </c>
      <c r="C23" s="4">
        <v>100000</v>
      </c>
      <c r="D23" s="4">
        <v>5</v>
      </c>
      <c r="E23" s="3">
        <v>0.34833750803199698</v>
      </c>
      <c r="F23" s="3">
        <v>-6.8713078960089007</v>
      </c>
      <c r="G23" s="1" t="s">
        <v>165</v>
      </c>
      <c r="H23" s="1">
        <v>100000</v>
      </c>
      <c r="I23" s="1">
        <v>5</v>
      </c>
      <c r="J23" s="1" t="s">
        <v>188</v>
      </c>
    </row>
    <row r="24" spans="1:10" x14ac:dyDescent="0.25">
      <c r="A24" s="4" t="s">
        <v>43</v>
      </c>
      <c r="B24" s="3" t="s">
        <v>139</v>
      </c>
      <c r="C24" s="4">
        <v>100000</v>
      </c>
      <c r="D24" s="4">
        <v>3</v>
      </c>
      <c r="E24" s="3">
        <v>-2.470055395237631</v>
      </c>
      <c r="F24" s="3">
        <v>-4.5315853006591809</v>
      </c>
      <c r="G24" s="1" t="s">
        <v>165</v>
      </c>
      <c r="H24" s="1">
        <v>100000</v>
      </c>
      <c r="I24" s="1">
        <v>3</v>
      </c>
      <c r="J24" s="1" t="s">
        <v>185</v>
      </c>
    </row>
    <row r="25" spans="1:10" x14ac:dyDescent="0.25">
      <c r="A25" s="4" t="s">
        <v>42</v>
      </c>
      <c r="B25" s="3" t="s">
        <v>138</v>
      </c>
      <c r="C25" s="4">
        <v>100000</v>
      </c>
      <c r="D25" s="4">
        <v>5</v>
      </c>
      <c r="E25" s="3">
        <v>-5.6950214677849047</v>
      </c>
      <c r="F25" s="3">
        <v>-4.8600020321697359</v>
      </c>
      <c r="G25" s="1" t="s">
        <v>419</v>
      </c>
      <c r="H25" s="1">
        <v>100000</v>
      </c>
      <c r="I25" s="1">
        <v>5</v>
      </c>
      <c r="J25" s="1" t="s">
        <v>199</v>
      </c>
    </row>
    <row r="26" spans="1:10" x14ac:dyDescent="0.25">
      <c r="A26" s="4" t="s">
        <v>41</v>
      </c>
      <c r="B26" s="3" t="s">
        <v>137</v>
      </c>
      <c r="C26" s="4">
        <v>100000</v>
      </c>
      <c r="D26" s="4">
        <v>5</v>
      </c>
      <c r="E26" s="3">
        <v>-4.675533333195812</v>
      </c>
      <c r="F26" s="3">
        <v>-3.2558166220458742</v>
      </c>
      <c r="G26" s="1" t="s">
        <v>165</v>
      </c>
      <c r="H26" s="1">
        <v>100000</v>
      </c>
      <c r="I26" s="1">
        <v>5</v>
      </c>
      <c r="J26" s="1" t="s">
        <v>191</v>
      </c>
    </row>
    <row r="27" spans="1:10" x14ac:dyDescent="0.25">
      <c r="A27" s="4" t="s">
        <v>37</v>
      </c>
      <c r="B27" s="3" t="s">
        <v>133</v>
      </c>
      <c r="C27" s="4">
        <v>100000</v>
      </c>
      <c r="D27" s="4">
        <v>5</v>
      </c>
      <c r="E27" s="3">
        <v>-3.8503763956986661</v>
      </c>
      <c r="F27" s="3">
        <v>-3.0278073730842157</v>
      </c>
      <c r="G27" s="1" t="s">
        <v>165</v>
      </c>
      <c r="H27" s="1">
        <v>100000</v>
      </c>
      <c r="I27" s="1">
        <v>5</v>
      </c>
      <c r="J27" s="1" t="s">
        <v>183</v>
      </c>
    </row>
    <row r="28" spans="1:10" x14ac:dyDescent="0.25">
      <c r="A28" s="4" t="s">
        <v>58</v>
      </c>
      <c r="B28" s="3" t="s">
        <v>154</v>
      </c>
      <c r="C28" s="4">
        <v>100000</v>
      </c>
      <c r="D28" s="4">
        <v>5</v>
      </c>
      <c r="E28" s="3">
        <v>-1.5825789248014044</v>
      </c>
      <c r="F28" s="3">
        <v>-1.1589881090889846</v>
      </c>
      <c r="G28" s="1" t="s">
        <v>165</v>
      </c>
      <c r="H28" s="1">
        <v>100000</v>
      </c>
      <c r="I28" s="1">
        <v>5</v>
      </c>
      <c r="J28" s="1" t="s">
        <v>204</v>
      </c>
    </row>
    <row r="29" spans="1:10" x14ac:dyDescent="0.25">
      <c r="A29" s="4" t="s">
        <v>59</v>
      </c>
      <c r="B29" s="3" t="s">
        <v>155</v>
      </c>
      <c r="C29" s="4">
        <v>100000</v>
      </c>
      <c r="D29" s="4">
        <v>5</v>
      </c>
      <c r="E29" s="3">
        <v>0.58973591101837985</v>
      </c>
      <c r="F29" s="3">
        <v>-3.0652749426400145</v>
      </c>
      <c r="G29" s="1" t="s">
        <v>165</v>
      </c>
      <c r="H29" s="1">
        <v>100000</v>
      </c>
      <c r="I29" s="1">
        <v>5</v>
      </c>
      <c r="J29" s="1" t="s">
        <v>188</v>
      </c>
    </row>
    <row r="30" spans="1:10" x14ac:dyDescent="0.25">
      <c r="A30" s="4" t="s">
        <v>60</v>
      </c>
      <c r="B30" s="3" t="s">
        <v>156</v>
      </c>
      <c r="C30" s="4">
        <v>100000</v>
      </c>
      <c r="D30" s="4">
        <v>3</v>
      </c>
      <c r="E30" s="3">
        <v>-0.47340505506063824</v>
      </c>
      <c r="F30" s="3">
        <v>-1.7895136460672134</v>
      </c>
      <c r="G30" s="1" t="s">
        <v>165</v>
      </c>
      <c r="H30" s="1">
        <v>100000</v>
      </c>
      <c r="I30" s="1">
        <v>3</v>
      </c>
      <c r="J30" s="1" t="s">
        <v>185</v>
      </c>
    </row>
    <row r="31" spans="1:10" x14ac:dyDescent="0.25">
      <c r="A31" s="4" t="s">
        <v>55</v>
      </c>
      <c r="B31" s="3" t="s">
        <v>151</v>
      </c>
      <c r="C31" s="4">
        <v>100000</v>
      </c>
      <c r="D31" s="4">
        <v>5</v>
      </c>
      <c r="E31" s="3">
        <v>-2.2911410734303583</v>
      </c>
      <c r="F31" s="3">
        <v>-1.9136320096477806</v>
      </c>
      <c r="G31" s="1" t="s">
        <v>165</v>
      </c>
      <c r="H31" s="1">
        <v>100000</v>
      </c>
      <c r="I31" s="1">
        <v>5</v>
      </c>
      <c r="J31" s="1" t="s">
        <v>191</v>
      </c>
    </row>
    <row r="32" spans="1:10" x14ac:dyDescent="0.25">
      <c r="A32" s="4" t="s">
        <v>56</v>
      </c>
      <c r="B32" s="3" t="s">
        <v>152</v>
      </c>
      <c r="C32" s="4">
        <v>100000</v>
      </c>
      <c r="D32" s="4">
        <v>5</v>
      </c>
      <c r="E32" s="3">
        <v>-1.826000000000003</v>
      </c>
      <c r="F32" s="3">
        <v>-1.1999889814684193</v>
      </c>
      <c r="G32" s="1" t="s">
        <v>165</v>
      </c>
      <c r="H32" s="1">
        <v>100000</v>
      </c>
      <c r="I32" s="1">
        <v>5</v>
      </c>
      <c r="J32" s="1" t="s">
        <v>183</v>
      </c>
    </row>
    <row r="33" spans="1:10" x14ac:dyDescent="0.25">
      <c r="A33" s="4" t="s">
        <v>61</v>
      </c>
      <c r="B33" s="3" t="s">
        <v>157</v>
      </c>
      <c r="C33" s="4">
        <v>100000</v>
      </c>
      <c r="D33" s="4">
        <v>3</v>
      </c>
      <c r="E33" s="3">
        <v>-0.91330031198534478</v>
      </c>
      <c r="F33" s="3">
        <v>-4.6835387771730161</v>
      </c>
      <c r="G33" s="1" t="s">
        <v>165</v>
      </c>
      <c r="H33" s="1">
        <v>100000</v>
      </c>
      <c r="I33" s="1">
        <v>3</v>
      </c>
      <c r="J33" s="1" t="s">
        <v>185</v>
      </c>
    </row>
    <row r="34" spans="1:10" x14ac:dyDescent="0.25">
      <c r="A34" s="4" t="s">
        <v>35</v>
      </c>
      <c r="B34" s="3" t="s">
        <v>131</v>
      </c>
      <c r="C34" s="4">
        <v>100000</v>
      </c>
      <c r="D34" s="4">
        <v>5</v>
      </c>
      <c r="E34" s="3">
        <v>-1.817616688601972</v>
      </c>
      <c r="F34" s="3">
        <v>-1.5329429104591008</v>
      </c>
      <c r="G34" s="1" t="s">
        <v>165</v>
      </c>
      <c r="H34" s="1">
        <v>100000</v>
      </c>
      <c r="I34" s="1">
        <v>5</v>
      </c>
      <c r="J34" s="1" t="s">
        <v>204</v>
      </c>
    </row>
    <row r="35" spans="1:10" x14ac:dyDescent="0.25">
      <c r="A35" s="4" t="s">
        <v>28</v>
      </c>
      <c r="B35" s="3" t="s">
        <v>124</v>
      </c>
      <c r="C35" s="4">
        <v>100000</v>
      </c>
      <c r="D35" s="4">
        <v>5</v>
      </c>
      <c r="E35" s="3">
        <v>0.43001874744413521</v>
      </c>
      <c r="F35" s="3">
        <v>-5.1500268187818774</v>
      </c>
      <c r="G35" s="1" t="s">
        <v>165</v>
      </c>
      <c r="H35" s="1">
        <v>100000</v>
      </c>
      <c r="I35" s="1">
        <v>5</v>
      </c>
      <c r="J35" s="1" t="s">
        <v>188</v>
      </c>
    </row>
    <row r="36" spans="1:10" x14ac:dyDescent="0.25">
      <c r="A36" s="4" t="s">
        <v>36</v>
      </c>
      <c r="B36" s="3" t="s">
        <v>132</v>
      </c>
      <c r="C36" s="4">
        <v>100000</v>
      </c>
      <c r="D36" s="4">
        <v>3</v>
      </c>
      <c r="E36" s="3">
        <v>-1.3894330675834317</v>
      </c>
      <c r="F36" s="3">
        <v>-3.6724396409573323</v>
      </c>
      <c r="G36" s="65" t="s">
        <v>419</v>
      </c>
      <c r="H36" s="1">
        <v>100000</v>
      </c>
      <c r="I36" s="1">
        <v>3</v>
      </c>
      <c r="J36" s="1" t="s">
        <v>185</v>
      </c>
    </row>
    <row r="37" spans="1:10" x14ac:dyDescent="0.25">
      <c r="A37" s="4" t="s">
        <v>29</v>
      </c>
      <c r="B37" s="3" t="s">
        <v>125</v>
      </c>
      <c r="C37" s="4">
        <v>100000</v>
      </c>
      <c r="D37" s="4">
        <v>5</v>
      </c>
      <c r="E37" s="3">
        <v>-2.6692654580370201</v>
      </c>
      <c r="F37" s="3">
        <v>-3.1380722214690002</v>
      </c>
      <c r="G37" s="1" t="s">
        <v>165</v>
      </c>
      <c r="H37" s="1">
        <v>100000</v>
      </c>
      <c r="I37" s="1">
        <v>5</v>
      </c>
      <c r="J37" s="1" t="s">
        <v>191</v>
      </c>
    </row>
    <row r="38" spans="1:10" x14ac:dyDescent="0.25">
      <c r="A38" s="4" t="s">
        <v>7</v>
      </c>
      <c r="B38" s="3" t="s">
        <v>103</v>
      </c>
      <c r="C38" s="4">
        <v>100000</v>
      </c>
      <c r="D38" s="4">
        <v>5</v>
      </c>
      <c r="E38" s="3">
        <v>-10.200122555643011</v>
      </c>
      <c r="F38" s="3">
        <v>-15.787430910334013</v>
      </c>
      <c r="G38" s="1" t="s">
        <v>167</v>
      </c>
      <c r="H38" s="1">
        <v>100000</v>
      </c>
      <c r="I38" s="1">
        <v>5</v>
      </c>
      <c r="J38" s="1" t="s">
        <v>193</v>
      </c>
    </row>
    <row r="39" spans="1:10" x14ac:dyDescent="0.25">
      <c r="A39" s="4" t="s">
        <v>14</v>
      </c>
      <c r="B39" s="3" t="s">
        <v>110</v>
      </c>
      <c r="C39" s="4">
        <v>100000</v>
      </c>
      <c r="D39" s="4">
        <v>5</v>
      </c>
      <c r="E39" s="3">
        <v>-61.827094062597162</v>
      </c>
      <c r="F39" s="3">
        <v>15.137145586074093</v>
      </c>
      <c r="G39" s="1" t="s">
        <v>167</v>
      </c>
      <c r="H39" s="1">
        <v>100000</v>
      </c>
      <c r="I39" s="1">
        <v>5</v>
      </c>
      <c r="J39" s="1" t="s">
        <v>194</v>
      </c>
    </row>
    <row r="40" spans="1:10" x14ac:dyDescent="0.25">
      <c r="A40" s="4" t="s">
        <v>18</v>
      </c>
      <c r="B40" s="3" t="s">
        <v>114</v>
      </c>
      <c r="C40" s="4">
        <v>100000</v>
      </c>
      <c r="D40" s="4">
        <v>5</v>
      </c>
      <c r="E40" s="3">
        <v>-611.82228516542955</v>
      </c>
      <c r="F40" s="3">
        <v>-50.489999999999974</v>
      </c>
      <c r="G40" s="1" t="s">
        <v>167</v>
      </c>
      <c r="H40" s="1">
        <v>100000</v>
      </c>
      <c r="I40" s="1">
        <v>5</v>
      </c>
      <c r="J40" s="1" t="s">
        <v>198</v>
      </c>
    </row>
    <row r="41" spans="1:10" x14ac:dyDescent="0.25">
      <c r="A41" s="4" t="s">
        <v>12</v>
      </c>
      <c r="B41" s="3" t="s">
        <v>108</v>
      </c>
      <c r="C41" s="4">
        <v>100000</v>
      </c>
      <c r="D41" s="4">
        <v>5</v>
      </c>
      <c r="E41" s="3">
        <v>-56.454715888293045</v>
      </c>
      <c r="F41" s="3">
        <v>6.5622127914240096</v>
      </c>
      <c r="G41" s="1" t="s">
        <v>167</v>
      </c>
      <c r="H41" s="1">
        <v>100000</v>
      </c>
      <c r="I41" s="1">
        <v>5</v>
      </c>
      <c r="J41" s="1" t="s">
        <v>190</v>
      </c>
    </row>
    <row r="42" spans="1:10" x14ac:dyDescent="0.25">
      <c r="A42" s="4" t="s">
        <v>11</v>
      </c>
      <c r="B42" s="3" t="s">
        <v>107</v>
      </c>
      <c r="C42" s="4">
        <v>100000</v>
      </c>
      <c r="D42" s="4">
        <v>5</v>
      </c>
      <c r="E42" s="3">
        <v>-39.858059102301084</v>
      </c>
      <c r="F42" s="3">
        <v>-4.8605106096480277</v>
      </c>
      <c r="G42" s="1" t="s">
        <v>167</v>
      </c>
      <c r="H42" s="1">
        <v>100000</v>
      </c>
      <c r="I42" s="1">
        <v>5</v>
      </c>
      <c r="J42" s="1" t="s">
        <v>196</v>
      </c>
    </row>
    <row r="43" spans="1:10" x14ac:dyDescent="0.25">
      <c r="A43" s="4" t="s">
        <v>8</v>
      </c>
      <c r="B43" s="3" t="s">
        <v>104</v>
      </c>
      <c r="C43" s="4">
        <v>100000</v>
      </c>
      <c r="D43" s="4">
        <v>5</v>
      </c>
      <c r="E43" s="3">
        <v>-29.405629174254088</v>
      </c>
      <c r="F43" s="3">
        <v>-8.2499999999999201</v>
      </c>
      <c r="G43" s="1" t="s">
        <v>167</v>
      </c>
      <c r="H43" s="1">
        <v>100000</v>
      </c>
      <c r="I43" s="1">
        <v>5</v>
      </c>
      <c r="J43" s="1" t="s">
        <v>189</v>
      </c>
    </row>
    <row r="44" spans="1:10" x14ac:dyDescent="0.25">
      <c r="A44" s="4" t="s">
        <v>15</v>
      </c>
      <c r="B44" s="3" t="s">
        <v>111</v>
      </c>
      <c r="C44" s="4">
        <v>100000</v>
      </c>
      <c r="D44" s="4">
        <v>5</v>
      </c>
      <c r="E44" s="3">
        <v>-639.81570151434642</v>
      </c>
      <c r="F44" s="3">
        <v>46.707414153840041</v>
      </c>
      <c r="G44" s="1" t="s">
        <v>167</v>
      </c>
      <c r="H44" s="1">
        <v>100000</v>
      </c>
      <c r="I44" s="1">
        <v>5</v>
      </c>
      <c r="J44" s="1" t="s">
        <v>197</v>
      </c>
    </row>
    <row r="45" spans="1:10" x14ac:dyDescent="0.25">
      <c r="A45" s="4" t="s">
        <v>13</v>
      </c>
      <c r="B45" s="3" t="s">
        <v>109</v>
      </c>
      <c r="C45" s="4">
        <v>100000</v>
      </c>
      <c r="D45" s="4">
        <v>5</v>
      </c>
      <c r="E45" s="3">
        <v>-71.832409780000177</v>
      </c>
      <c r="F45" s="3">
        <v>-12.009336182207905</v>
      </c>
      <c r="G45" s="1" t="s">
        <v>167</v>
      </c>
      <c r="H45" s="1">
        <v>100000</v>
      </c>
      <c r="I45" s="1">
        <v>5</v>
      </c>
      <c r="J45" s="1" t="s">
        <v>194</v>
      </c>
    </row>
    <row r="46" spans="1:10" x14ac:dyDescent="0.25">
      <c r="A46" s="4" t="s">
        <v>10</v>
      </c>
      <c r="B46" s="3" t="s">
        <v>106</v>
      </c>
      <c r="C46" s="4">
        <v>100000</v>
      </c>
      <c r="D46" s="4">
        <v>4</v>
      </c>
      <c r="E46" s="3">
        <v>-24.209532790000026</v>
      </c>
      <c r="F46" s="3">
        <v>-31.164204889999993</v>
      </c>
      <c r="G46" s="1" t="s">
        <v>167</v>
      </c>
      <c r="H46" s="1">
        <v>100000</v>
      </c>
      <c r="I46" s="1">
        <v>5</v>
      </c>
      <c r="J46" s="1" t="s">
        <v>190</v>
      </c>
    </row>
    <row r="47" spans="1:10" x14ac:dyDescent="0.25">
      <c r="A47" s="4" t="s">
        <v>4</v>
      </c>
      <c r="B47" s="3" t="s">
        <v>100</v>
      </c>
      <c r="C47" s="4">
        <v>100000</v>
      </c>
      <c r="D47" s="4">
        <v>4</v>
      </c>
      <c r="E47" s="3">
        <v>-15.599867737111698</v>
      </c>
      <c r="F47" s="3">
        <v>-15.000353342432819</v>
      </c>
      <c r="G47" s="1" t="s">
        <v>167</v>
      </c>
      <c r="H47" s="1">
        <v>100000</v>
      </c>
      <c r="I47" s="1">
        <v>5</v>
      </c>
      <c r="J47" s="1" t="s">
        <v>189</v>
      </c>
    </row>
    <row r="48" spans="1:10" x14ac:dyDescent="0.25">
      <c r="A48" s="4" t="s">
        <v>2</v>
      </c>
      <c r="B48" s="3" t="s">
        <v>98</v>
      </c>
      <c r="C48" s="4">
        <v>100000</v>
      </c>
      <c r="D48" s="4">
        <v>3</v>
      </c>
      <c r="E48" s="3">
        <v>8.8422187923006518E-2</v>
      </c>
      <c r="F48" s="3">
        <v>-1.4520000000000139</v>
      </c>
      <c r="G48" s="1" t="s">
        <v>167</v>
      </c>
      <c r="H48" s="1">
        <v>100000</v>
      </c>
      <c r="I48" s="1">
        <v>3</v>
      </c>
      <c r="J48" s="1" t="s">
        <v>185</v>
      </c>
    </row>
    <row r="49" spans="1:10" x14ac:dyDescent="0.25">
      <c r="A49" s="4" t="s">
        <v>1</v>
      </c>
      <c r="B49" s="3" t="s">
        <v>97</v>
      </c>
      <c r="C49" s="4">
        <v>100000</v>
      </c>
      <c r="D49" s="4">
        <v>3</v>
      </c>
      <c r="E49" s="3">
        <v>4.2319149731997616E-2</v>
      </c>
      <c r="F49" s="3">
        <v>-1.9250000000000136</v>
      </c>
      <c r="G49" s="1" t="s">
        <v>167</v>
      </c>
      <c r="H49" s="1">
        <v>100000</v>
      </c>
      <c r="I49" s="1">
        <v>3</v>
      </c>
      <c r="J49" s="1" t="s">
        <v>185</v>
      </c>
    </row>
    <row r="50" spans="1:10" x14ac:dyDescent="0.25">
      <c r="A50" s="4" t="s">
        <v>3</v>
      </c>
      <c r="B50" s="3" t="s">
        <v>99</v>
      </c>
      <c r="C50" s="4">
        <v>100000</v>
      </c>
      <c r="D50" s="4">
        <v>3</v>
      </c>
      <c r="E50" s="3">
        <v>-0.29824961486399981</v>
      </c>
      <c r="F50" s="3">
        <v>-1.5949999999999989</v>
      </c>
      <c r="G50" s="1" t="s">
        <v>167</v>
      </c>
      <c r="H50" s="1">
        <v>100000</v>
      </c>
      <c r="I50" s="1">
        <v>3</v>
      </c>
      <c r="J50" s="1" t="s">
        <v>185</v>
      </c>
    </row>
    <row r="51" spans="1:10" x14ac:dyDescent="0.25">
      <c r="A51" s="4" t="s">
        <v>6</v>
      </c>
      <c r="B51" s="3" t="s">
        <v>102</v>
      </c>
      <c r="C51" s="4">
        <v>100000</v>
      </c>
      <c r="D51" s="4">
        <v>5</v>
      </c>
      <c r="E51" s="3">
        <v>-0.44813330204699342</v>
      </c>
      <c r="F51" s="3">
        <v>-8.6020000000000376</v>
      </c>
      <c r="G51" s="1" t="s">
        <v>167</v>
      </c>
      <c r="H51" s="1">
        <v>100000</v>
      </c>
      <c r="I51" s="1">
        <v>5</v>
      </c>
      <c r="J51" s="1" t="s">
        <v>189</v>
      </c>
    </row>
    <row r="52" spans="1:10" x14ac:dyDescent="0.25">
      <c r="A52" s="4" t="s">
        <v>5</v>
      </c>
      <c r="B52" s="3" t="s">
        <v>101</v>
      </c>
      <c r="C52" s="4">
        <v>100000</v>
      </c>
      <c r="D52" s="4">
        <v>3</v>
      </c>
      <c r="E52" s="3">
        <v>-0.26399999999999751</v>
      </c>
      <c r="F52" s="3">
        <v>-0.18345667892400494</v>
      </c>
      <c r="G52" s="1" t="s">
        <v>167</v>
      </c>
      <c r="H52" s="1">
        <v>100000</v>
      </c>
      <c r="I52" s="1">
        <v>3</v>
      </c>
      <c r="J52" s="1" t="s">
        <v>185</v>
      </c>
    </row>
    <row r="53" spans="1:10" x14ac:dyDescent="0.25">
      <c r="A53" s="4" t="s">
        <v>27</v>
      </c>
      <c r="B53" s="3" t="s">
        <v>123</v>
      </c>
      <c r="C53" s="4">
        <v>100000</v>
      </c>
      <c r="D53" s="4">
        <v>5</v>
      </c>
      <c r="E53" s="3">
        <v>-105.26675406817783</v>
      </c>
      <c r="F53" s="3">
        <v>16.977080007759959</v>
      </c>
      <c r="G53" s="1" t="s">
        <v>167</v>
      </c>
      <c r="H53" s="1">
        <v>100000</v>
      </c>
      <c r="I53" s="1">
        <v>5</v>
      </c>
      <c r="J53" s="1" t="s">
        <v>202</v>
      </c>
    </row>
    <row r="54" spans="1:10" x14ac:dyDescent="0.25">
      <c r="A54" s="4" t="s">
        <v>20</v>
      </c>
      <c r="B54" s="3" t="s">
        <v>116</v>
      </c>
      <c r="C54" s="4">
        <v>100000</v>
      </c>
      <c r="D54" s="4">
        <v>5</v>
      </c>
      <c r="E54" s="3">
        <v>7.0578844761570085</v>
      </c>
      <c r="F54" s="3">
        <v>-35.862148468458059</v>
      </c>
      <c r="G54" s="1" t="s">
        <v>167</v>
      </c>
      <c r="H54" s="1">
        <v>100000</v>
      </c>
      <c r="I54" s="1">
        <v>5</v>
      </c>
      <c r="J54" s="1" t="s">
        <v>193</v>
      </c>
    </row>
    <row r="55" spans="1:10" x14ac:dyDescent="0.25">
      <c r="A55" s="4" t="s">
        <v>21</v>
      </c>
      <c r="B55" s="3" t="s">
        <v>117</v>
      </c>
      <c r="C55" s="4">
        <v>100000</v>
      </c>
      <c r="D55" s="4">
        <v>5</v>
      </c>
      <c r="E55" s="3">
        <v>-12.339240089325015</v>
      </c>
      <c r="F55" s="3">
        <v>-3.3679372608239855</v>
      </c>
      <c r="G55" s="1" t="s">
        <v>167</v>
      </c>
      <c r="H55" s="1">
        <v>100000</v>
      </c>
      <c r="I55" s="1">
        <v>5</v>
      </c>
      <c r="J55" s="1" t="s">
        <v>194</v>
      </c>
    </row>
    <row r="56" spans="1:10" x14ac:dyDescent="0.25">
      <c r="A56" s="4" t="s">
        <v>22</v>
      </c>
      <c r="B56" s="3" t="s">
        <v>118</v>
      </c>
      <c r="C56" s="4">
        <v>100000</v>
      </c>
      <c r="D56" s="4">
        <v>3</v>
      </c>
      <c r="E56" s="3">
        <v>-6.0229448080859846</v>
      </c>
      <c r="F56" s="3">
        <v>-14.263809487436911</v>
      </c>
      <c r="G56" s="1" t="s">
        <v>167</v>
      </c>
      <c r="H56" s="1">
        <v>100000</v>
      </c>
      <c r="I56" s="1">
        <v>3</v>
      </c>
      <c r="J56" s="1" t="s">
        <v>195</v>
      </c>
    </row>
    <row r="57" spans="1:10" x14ac:dyDescent="0.25">
      <c r="A57" s="4" t="s">
        <v>16</v>
      </c>
      <c r="B57" s="3" t="s">
        <v>112</v>
      </c>
      <c r="C57" s="4">
        <v>100000</v>
      </c>
      <c r="D57" s="4">
        <v>5</v>
      </c>
      <c r="E57" s="3">
        <v>-422.49184371076916</v>
      </c>
      <c r="F57" s="3">
        <v>6.0114991510831965E-14</v>
      </c>
      <c r="G57" s="1" t="s">
        <v>167</v>
      </c>
      <c r="H57" s="1">
        <v>100000</v>
      </c>
      <c r="I57" s="6">
        <v>5</v>
      </c>
      <c r="J57" s="1" t="s">
        <v>198</v>
      </c>
    </row>
    <row r="58" spans="1:10" x14ac:dyDescent="0.25">
      <c r="A58" s="4" t="s">
        <v>33</v>
      </c>
      <c r="B58" s="3" t="s">
        <v>129</v>
      </c>
      <c r="C58" s="4">
        <v>100000</v>
      </c>
      <c r="D58" s="4">
        <v>5</v>
      </c>
      <c r="E58" s="3">
        <v>-4.6034075311320368</v>
      </c>
      <c r="F58" s="3">
        <v>-15.83410904490961</v>
      </c>
      <c r="G58" s="1" t="s">
        <v>167</v>
      </c>
      <c r="H58" s="1">
        <v>100000</v>
      </c>
      <c r="I58" s="6">
        <v>5</v>
      </c>
      <c r="J58" s="1" t="s">
        <v>190</v>
      </c>
    </row>
    <row r="59" spans="1:10" x14ac:dyDescent="0.25">
      <c r="A59" s="4" t="s">
        <v>23</v>
      </c>
      <c r="B59" s="3" t="s">
        <v>119</v>
      </c>
      <c r="C59" s="4">
        <v>100000</v>
      </c>
      <c r="D59" s="4">
        <v>5</v>
      </c>
      <c r="E59" s="3">
        <v>-14.960864446164068</v>
      </c>
      <c r="F59" s="3">
        <v>-16.662961716666107</v>
      </c>
      <c r="G59" s="1" t="s">
        <v>167</v>
      </c>
      <c r="H59" s="1">
        <v>100000</v>
      </c>
      <c r="I59" s="6">
        <v>5</v>
      </c>
      <c r="J59" s="1" t="s">
        <v>196</v>
      </c>
    </row>
    <row r="60" spans="1:10" x14ac:dyDescent="0.25">
      <c r="A60" s="4" t="s">
        <v>19</v>
      </c>
      <c r="B60" s="3" t="s">
        <v>115</v>
      </c>
      <c r="C60" s="4">
        <v>100000</v>
      </c>
      <c r="D60" s="4">
        <v>3</v>
      </c>
      <c r="E60" s="3">
        <v>-972.40000000000157</v>
      </c>
      <c r="F60" s="3">
        <v>213.50000000000028</v>
      </c>
      <c r="G60" s="1" t="s">
        <v>167</v>
      </c>
      <c r="H60" s="1">
        <v>100000</v>
      </c>
      <c r="I60" s="6">
        <v>5</v>
      </c>
      <c r="J60" s="1" t="s">
        <v>187</v>
      </c>
    </row>
    <row r="61" spans="1:10" x14ac:dyDescent="0.25">
      <c r="A61" s="4" t="s">
        <v>25</v>
      </c>
      <c r="B61" s="3" t="s">
        <v>121</v>
      </c>
      <c r="C61" s="4">
        <v>100000</v>
      </c>
      <c r="D61" s="4">
        <v>5</v>
      </c>
      <c r="E61" s="3">
        <v>-4.655646108210405</v>
      </c>
      <c r="F61" s="3">
        <v>-45.183783171372092</v>
      </c>
      <c r="G61" s="1" t="s">
        <v>167</v>
      </c>
      <c r="H61" s="1">
        <v>100000</v>
      </c>
      <c r="I61" s="6">
        <v>5</v>
      </c>
      <c r="J61" s="1" t="s">
        <v>189</v>
      </c>
    </row>
    <row r="62" spans="1:10" x14ac:dyDescent="0.25">
      <c r="A62" s="4" t="s">
        <v>17</v>
      </c>
      <c r="B62" s="3" t="s">
        <v>113</v>
      </c>
      <c r="C62" s="4">
        <v>100000</v>
      </c>
      <c r="D62" s="4">
        <v>5</v>
      </c>
      <c r="E62" s="3">
        <v>-551.48389793253</v>
      </c>
      <c r="F62" s="3">
        <v>33.755947206569964</v>
      </c>
      <c r="G62" s="1" t="s">
        <v>167</v>
      </c>
      <c r="H62" s="1">
        <v>100000</v>
      </c>
      <c r="I62" s="1">
        <v>5</v>
      </c>
      <c r="J62" s="1" t="s">
        <v>197</v>
      </c>
    </row>
    <row r="63" spans="1:10" x14ac:dyDescent="0.25">
      <c r="A63" s="7" t="s">
        <v>179</v>
      </c>
      <c r="B63" s="7" t="s">
        <v>168</v>
      </c>
      <c r="C63" s="11" t="s">
        <v>182</v>
      </c>
      <c r="D63" s="11" t="s">
        <v>182</v>
      </c>
      <c r="E63" s="7">
        <v>-50</v>
      </c>
      <c r="F63" s="7">
        <v>0</v>
      </c>
      <c r="G63" s="7" t="s">
        <v>167</v>
      </c>
      <c r="H63" s="7">
        <v>100000</v>
      </c>
      <c r="I63" s="7">
        <v>5</v>
      </c>
      <c r="J63" s="11" t="s">
        <v>209</v>
      </c>
    </row>
    <row r="64" spans="1:10" x14ac:dyDescent="0.25">
      <c r="A64" s="4" t="s">
        <v>24</v>
      </c>
      <c r="B64" s="3" t="s">
        <v>120</v>
      </c>
      <c r="C64" s="4">
        <v>100000</v>
      </c>
      <c r="D64" s="4">
        <v>5</v>
      </c>
      <c r="E64" s="3">
        <v>-290.28760886782794</v>
      </c>
      <c r="F64" s="3">
        <v>21.334858908741083</v>
      </c>
      <c r="G64" s="1" t="s">
        <v>167</v>
      </c>
      <c r="H64" s="1">
        <v>100000</v>
      </c>
      <c r="I64" s="1">
        <v>5</v>
      </c>
      <c r="J64" s="1" t="s">
        <v>200</v>
      </c>
    </row>
    <row r="65" spans="1:10" x14ac:dyDescent="0.25">
      <c r="A65" s="4" t="s">
        <v>65</v>
      </c>
      <c r="B65" s="3" t="s">
        <v>161</v>
      </c>
      <c r="C65" s="4">
        <v>10</v>
      </c>
      <c r="D65" s="4">
        <v>2</v>
      </c>
      <c r="E65" s="3">
        <v>-79.40435224688396</v>
      </c>
      <c r="F65" s="3">
        <v>-201.62999999999985</v>
      </c>
      <c r="G65" s="1" t="s">
        <v>164</v>
      </c>
      <c r="H65" s="1">
        <v>100</v>
      </c>
      <c r="I65" s="1">
        <v>3</v>
      </c>
      <c r="J65" s="1" t="s">
        <v>183</v>
      </c>
    </row>
    <row r="66" spans="1:10" x14ac:dyDescent="0.25">
      <c r="A66" s="4" t="s">
        <v>64</v>
      </c>
      <c r="B66" s="3" t="s">
        <v>160</v>
      </c>
      <c r="C66" s="4">
        <v>10</v>
      </c>
      <c r="D66" s="4">
        <v>2</v>
      </c>
      <c r="E66" s="3">
        <v>-165.10999999999987</v>
      </c>
      <c r="F66" s="3">
        <v>-4.0650687619788188</v>
      </c>
      <c r="G66" s="1" t="s">
        <v>164</v>
      </c>
      <c r="H66" s="1">
        <v>50</v>
      </c>
      <c r="I66" s="1">
        <v>3</v>
      </c>
      <c r="J66" s="1" t="s">
        <v>183</v>
      </c>
    </row>
    <row r="67" spans="1:10" x14ac:dyDescent="0.25">
      <c r="A67" s="4" t="s">
        <v>63</v>
      </c>
      <c r="B67" s="3" t="s">
        <v>159</v>
      </c>
      <c r="C67" s="4">
        <v>5000</v>
      </c>
      <c r="D67" s="4">
        <v>3</v>
      </c>
      <c r="E67" s="3">
        <v>-2.3540000000000272</v>
      </c>
      <c r="F67" s="3">
        <v>-0.24999563849791534</v>
      </c>
      <c r="G67" s="1" t="s">
        <v>164</v>
      </c>
      <c r="H67" s="1">
        <v>5000</v>
      </c>
      <c r="I67" s="1">
        <v>3</v>
      </c>
      <c r="J67" s="1" t="s">
        <v>183</v>
      </c>
    </row>
    <row r="68" spans="1:10" x14ac:dyDescent="0.25">
      <c r="A68" s="4" t="s">
        <v>62</v>
      </c>
      <c r="B68" s="3" t="s">
        <v>158</v>
      </c>
      <c r="C68" s="4">
        <v>100</v>
      </c>
      <c r="D68" s="4">
        <v>2</v>
      </c>
      <c r="E68" s="3">
        <v>-3.7279047833134991</v>
      </c>
      <c r="F68" s="3">
        <v>-1.8053979038322114</v>
      </c>
      <c r="G68" s="1" t="s">
        <v>164</v>
      </c>
      <c r="H68" s="1">
        <v>100</v>
      </c>
      <c r="I68" s="1">
        <v>2</v>
      </c>
      <c r="J68" s="1" t="s">
        <v>183</v>
      </c>
    </row>
    <row r="69" spans="1:10" x14ac:dyDescent="0.25">
      <c r="A69" s="7"/>
      <c r="B69" s="7" t="s">
        <v>162</v>
      </c>
      <c r="C69" s="11" t="s">
        <v>182</v>
      </c>
      <c r="D69" s="11" t="s">
        <v>182</v>
      </c>
      <c r="E69" s="8">
        <v>-8.3333300000000001</v>
      </c>
      <c r="F69" s="8">
        <v>5</v>
      </c>
      <c r="G69" s="7" t="s">
        <v>164</v>
      </c>
      <c r="H69" s="7">
        <v>25000</v>
      </c>
      <c r="I69" s="7">
        <v>5</v>
      </c>
      <c r="J69" s="11" t="s">
        <v>183</v>
      </c>
    </row>
    <row r="70" spans="1:10" x14ac:dyDescent="0.25">
      <c r="A70" s="4" t="s">
        <v>66</v>
      </c>
      <c r="B70" s="3" t="s">
        <v>83</v>
      </c>
      <c r="C70" s="4">
        <v>1</v>
      </c>
      <c r="D70" s="4">
        <v>0</v>
      </c>
      <c r="E70" s="3">
        <v>28.857529633774121</v>
      </c>
      <c r="F70" s="3">
        <v>-54.497214804295908</v>
      </c>
      <c r="G70" s="1" t="s">
        <v>163</v>
      </c>
      <c r="H70" s="1">
        <v>10</v>
      </c>
      <c r="I70" s="1">
        <v>1</v>
      </c>
      <c r="J70" s="1" t="s">
        <v>183</v>
      </c>
    </row>
    <row r="71" spans="1:10" x14ac:dyDescent="0.25">
      <c r="A71" s="4" t="s">
        <v>71</v>
      </c>
      <c r="B71" s="3" t="s">
        <v>84</v>
      </c>
      <c r="C71" s="4">
        <v>1</v>
      </c>
      <c r="D71" s="4">
        <v>2</v>
      </c>
      <c r="E71" s="3">
        <v>-4.8232731647202289</v>
      </c>
      <c r="F71" s="3">
        <v>-6.0551999379658845</v>
      </c>
      <c r="G71" s="1" t="s">
        <v>163</v>
      </c>
      <c r="H71" s="1">
        <v>20</v>
      </c>
      <c r="I71" s="1">
        <v>1</v>
      </c>
      <c r="J71" s="1" t="s">
        <v>203</v>
      </c>
    </row>
    <row r="72" spans="1:10" x14ac:dyDescent="0.25">
      <c r="A72" s="4" t="s">
        <v>67</v>
      </c>
      <c r="B72" s="3" t="s">
        <v>85</v>
      </c>
      <c r="C72" s="4">
        <v>1</v>
      </c>
      <c r="D72" s="4">
        <v>2</v>
      </c>
      <c r="E72" s="3">
        <v>-78.324436453155784</v>
      </c>
      <c r="F72" s="3">
        <v>-152.90409262731421</v>
      </c>
      <c r="G72" s="1" t="s">
        <v>163</v>
      </c>
      <c r="H72" s="1">
        <v>20</v>
      </c>
      <c r="I72" s="10">
        <v>2</v>
      </c>
      <c r="J72" s="1" t="s">
        <v>186</v>
      </c>
    </row>
    <row r="73" spans="1:10" x14ac:dyDescent="0.25">
      <c r="A73" s="4" t="s">
        <v>77</v>
      </c>
      <c r="B73" s="3" t="s">
        <v>86</v>
      </c>
      <c r="C73" s="4">
        <v>1</v>
      </c>
      <c r="D73" s="4">
        <v>2</v>
      </c>
      <c r="E73" s="3">
        <v>4.7377015922290742</v>
      </c>
      <c r="F73" s="3">
        <v>-22.6737513957654</v>
      </c>
      <c r="G73" s="1" t="s">
        <v>163</v>
      </c>
      <c r="H73" s="1">
        <v>10</v>
      </c>
      <c r="I73" s="1">
        <v>1</v>
      </c>
      <c r="J73" s="1" t="s">
        <v>186</v>
      </c>
    </row>
    <row r="74" spans="1:10" x14ac:dyDescent="0.25">
      <c r="A74" s="4" t="s">
        <v>76</v>
      </c>
      <c r="B74" s="3" t="s">
        <v>87</v>
      </c>
      <c r="C74" s="4">
        <v>1</v>
      </c>
      <c r="D74" s="4">
        <v>2</v>
      </c>
      <c r="E74" s="3">
        <v>-1.914621619964322</v>
      </c>
      <c r="F74" s="3">
        <v>-7.9270874048443272</v>
      </c>
      <c r="G74" s="1" t="s">
        <v>163</v>
      </c>
      <c r="H74" s="1">
        <v>10</v>
      </c>
      <c r="I74" s="1">
        <v>1</v>
      </c>
      <c r="J74" s="1" t="s">
        <v>186</v>
      </c>
    </row>
    <row r="75" spans="1:10" x14ac:dyDescent="0.25">
      <c r="A75" s="4" t="s">
        <v>70</v>
      </c>
      <c r="B75" s="3" t="s">
        <v>88</v>
      </c>
      <c r="C75" s="4">
        <v>1</v>
      </c>
      <c r="D75" s="4">
        <v>0</v>
      </c>
      <c r="E75" s="3">
        <v>17.454638413788356</v>
      </c>
      <c r="F75" s="3">
        <v>-65.454984361475326</v>
      </c>
      <c r="G75" s="1" t="s">
        <v>163</v>
      </c>
      <c r="H75" s="1">
        <v>50</v>
      </c>
      <c r="I75" s="1">
        <v>1</v>
      </c>
      <c r="J75" s="1" t="s">
        <v>194</v>
      </c>
    </row>
    <row r="76" spans="1:10" x14ac:dyDescent="0.25">
      <c r="A76" s="4" t="s">
        <v>69</v>
      </c>
      <c r="B76" s="3" t="s">
        <v>89</v>
      </c>
      <c r="C76" s="4">
        <v>1</v>
      </c>
      <c r="D76" s="4">
        <v>2</v>
      </c>
      <c r="E76" s="3">
        <v>-17.801989725728681</v>
      </c>
      <c r="F76" s="3">
        <v>-23.77561511262245</v>
      </c>
      <c r="G76" s="1" t="s">
        <v>163</v>
      </c>
      <c r="H76" s="1">
        <v>500</v>
      </c>
      <c r="I76" s="1">
        <v>1</v>
      </c>
      <c r="J76" s="1" t="s">
        <v>185</v>
      </c>
    </row>
    <row r="77" spans="1:10" x14ac:dyDescent="0.25">
      <c r="A77" s="4" t="s">
        <v>73</v>
      </c>
      <c r="B77" s="3" t="s">
        <v>90</v>
      </c>
      <c r="C77" s="4">
        <v>1</v>
      </c>
      <c r="D77" s="4">
        <v>2</v>
      </c>
      <c r="E77" s="3">
        <v>-0.13760352967832121</v>
      </c>
      <c r="F77" s="3">
        <v>-6.1884284025654468</v>
      </c>
      <c r="G77" s="1" t="s">
        <v>163</v>
      </c>
      <c r="H77" s="1">
        <v>10</v>
      </c>
      <c r="I77" s="1">
        <v>1</v>
      </c>
      <c r="J77" s="1" t="s">
        <v>186</v>
      </c>
    </row>
    <row r="78" spans="1:10" x14ac:dyDescent="0.25">
      <c r="A78" s="4" t="s">
        <v>72</v>
      </c>
      <c r="B78" s="3" t="s">
        <v>91</v>
      </c>
      <c r="C78" s="4">
        <v>1</v>
      </c>
      <c r="D78" s="4">
        <v>2</v>
      </c>
      <c r="E78" s="3">
        <v>-0.75662266918047716</v>
      </c>
      <c r="F78" s="3">
        <v>-10.239631135974427</v>
      </c>
      <c r="G78" s="1" t="s">
        <v>163</v>
      </c>
      <c r="H78" s="1">
        <v>10</v>
      </c>
      <c r="I78" s="1">
        <v>1</v>
      </c>
      <c r="J78" s="1" t="s">
        <v>201</v>
      </c>
    </row>
    <row r="79" spans="1:10" x14ac:dyDescent="0.25">
      <c r="A79" s="4" t="s">
        <v>79</v>
      </c>
      <c r="B79" s="3" t="s">
        <v>92</v>
      </c>
      <c r="C79" s="4">
        <v>100</v>
      </c>
      <c r="D79" s="4">
        <v>3</v>
      </c>
      <c r="E79" s="3">
        <v>-18.094535587941756</v>
      </c>
      <c r="F79" s="3">
        <v>-22.029164792461856</v>
      </c>
      <c r="G79" s="1" t="s">
        <v>418</v>
      </c>
      <c r="H79" s="1">
        <v>1000</v>
      </c>
      <c r="I79" s="1">
        <v>3</v>
      </c>
      <c r="J79" s="1" t="s">
        <v>183</v>
      </c>
    </row>
    <row r="80" spans="1:10" x14ac:dyDescent="0.25">
      <c r="A80" s="4" t="s">
        <v>68</v>
      </c>
      <c r="B80" s="3" t="s">
        <v>93</v>
      </c>
      <c r="C80" s="4">
        <v>1</v>
      </c>
      <c r="D80" s="4">
        <v>2</v>
      </c>
      <c r="E80" s="3">
        <v>-9.2272960255815448</v>
      </c>
      <c r="F80" s="3">
        <v>-12.596497937756043</v>
      </c>
      <c r="G80" s="1" t="s">
        <v>163</v>
      </c>
      <c r="H80" s="1">
        <v>20</v>
      </c>
      <c r="I80" s="1">
        <v>1</v>
      </c>
      <c r="J80" s="1" t="s">
        <v>183</v>
      </c>
    </row>
    <row r="81" spans="1:10" x14ac:dyDescent="0.25">
      <c r="A81" s="4" t="s">
        <v>75</v>
      </c>
      <c r="B81" s="3" t="s">
        <v>94</v>
      </c>
      <c r="C81" s="4">
        <v>1</v>
      </c>
      <c r="D81" s="4">
        <v>2</v>
      </c>
      <c r="E81" s="3">
        <v>-20.774096553863533</v>
      </c>
      <c r="F81" s="3">
        <v>-34.88023555164537</v>
      </c>
      <c r="G81" s="1" t="s">
        <v>163</v>
      </c>
      <c r="H81" s="1">
        <v>10</v>
      </c>
      <c r="I81" s="1">
        <v>1</v>
      </c>
      <c r="J81" s="1" t="s">
        <v>183</v>
      </c>
    </row>
    <row r="82" spans="1:10" x14ac:dyDescent="0.25">
      <c r="A82" s="4" t="s">
        <v>74</v>
      </c>
      <c r="B82" s="3" t="s">
        <v>95</v>
      </c>
      <c r="C82" s="4">
        <v>1</v>
      </c>
      <c r="D82" s="4">
        <v>2</v>
      </c>
      <c r="E82" s="3">
        <v>-16.029718603217759</v>
      </c>
      <c r="F82" s="3">
        <v>-49.143938382381975</v>
      </c>
      <c r="G82" s="1" t="s">
        <v>163</v>
      </c>
      <c r="H82" s="1">
        <v>50</v>
      </c>
      <c r="I82" s="1">
        <v>2</v>
      </c>
      <c r="J82" s="1" t="s">
        <v>183</v>
      </c>
    </row>
    <row r="83" spans="1:10" x14ac:dyDescent="0.25">
      <c r="A83" s="4" t="s">
        <v>80</v>
      </c>
      <c r="B83" s="3" t="s">
        <v>96</v>
      </c>
      <c r="C83" s="4">
        <v>100</v>
      </c>
      <c r="D83" s="4">
        <v>3</v>
      </c>
      <c r="E83" s="3">
        <v>3.095286360877382</v>
      </c>
      <c r="F83" s="3">
        <v>-19.927783973766214</v>
      </c>
      <c r="G83" s="1" t="s">
        <v>163</v>
      </c>
      <c r="H83" s="1">
        <v>1000</v>
      </c>
      <c r="I83" s="1">
        <v>3</v>
      </c>
      <c r="J83" s="1" t="s">
        <v>183</v>
      </c>
    </row>
    <row r="84" spans="1:10" x14ac:dyDescent="0.25">
      <c r="A84" s="59" t="s">
        <v>213</v>
      </c>
      <c r="B84" s="61" t="s">
        <v>431</v>
      </c>
      <c r="C84" s="59">
        <v>10000</v>
      </c>
      <c r="D84" s="59">
        <v>3</v>
      </c>
      <c r="E84" s="61">
        <v>-1.1824832384257835</v>
      </c>
      <c r="F84" s="61">
        <v>-3.5065341210876191E-2</v>
      </c>
      <c r="G84" s="60" t="s">
        <v>240</v>
      </c>
      <c r="H84" s="60">
        <v>10000</v>
      </c>
      <c r="I84" s="60">
        <v>3</v>
      </c>
      <c r="J84" s="60" t="s">
        <v>183</v>
      </c>
    </row>
  </sheetData>
  <sortState ref="B100:N120">
    <sortCondition ref="B100:B120"/>
  </sortState>
  <conditionalFormatting sqref="B85:B88">
    <cfRule type="duplicateValues" dxfId="4" priority="9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84"/>
  <sheetViews>
    <sheetView workbookViewId="0">
      <pane ySplit="1" topLeftCell="A2" activePane="bottomLeft" state="frozen"/>
      <selection pane="bottomLeft" activeCell="A83" sqref="A83"/>
    </sheetView>
  </sheetViews>
  <sheetFormatPr defaultRowHeight="15" x14ac:dyDescent="0.25"/>
  <cols>
    <col min="1" max="1" width="17.28515625" bestFit="1" customWidth="1"/>
    <col min="2" max="2" width="16.140625" bestFit="1" customWidth="1"/>
    <col min="3" max="3" width="16.7109375" bestFit="1" customWidth="1"/>
    <col min="4" max="4" width="10.7109375" customWidth="1"/>
    <col min="5" max="5" width="8.42578125" customWidth="1"/>
    <col min="6" max="6" width="9.5703125" customWidth="1"/>
    <col min="7" max="7" width="21.85546875" bestFit="1" customWidth="1"/>
    <col min="8" max="8" width="22.42578125" bestFit="1" customWidth="1"/>
    <col min="9" max="9" width="12.42578125" bestFit="1" customWidth="1"/>
    <col min="10" max="11" width="12.7109375" bestFit="1" customWidth="1"/>
    <col min="14" max="19" width="4" customWidth="1"/>
  </cols>
  <sheetData>
    <row r="1" spans="1:11" x14ac:dyDescent="0.25">
      <c r="A1" s="17" t="s">
        <v>176</v>
      </c>
      <c r="B1" s="17" t="s">
        <v>171</v>
      </c>
      <c r="C1" s="17" t="s">
        <v>172</v>
      </c>
      <c r="D1" s="17" t="s">
        <v>207</v>
      </c>
      <c r="E1" s="17" t="s">
        <v>169</v>
      </c>
      <c r="F1" s="17" t="s">
        <v>184</v>
      </c>
      <c r="G1" s="17" t="s">
        <v>210</v>
      </c>
      <c r="H1" s="17" t="s">
        <v>211</v>
      </c>
      <c r="I1" s="17" t="s">
        <v>208</v>
      </c>
      <c r="J1" s="17" t="s">
        <v>205</v>
      </c>
      <c r="K1" s="17" t="s">
        <v>206</v>
      </c>
    </row>
    <row r="2" spans="1:11" x14ac:dyDescent="0.25">
      <c r="A2" s="66" t="s">
        <v>143</v>
      </c>
      <c r="B2" s="66">
        <v>-2.1890000000000001</v>
      </c>
      <c r="C2" s="66">
        <v>-0.79199999999999993</v>
      </c>
      <c r="D2" s="66">
        <v>100000</v>
      </c>
      <c r="E2" s="66">
        <v>5</v>
      </c>
      <c r="F2" s="66" t="s">
        <v>204</v>
      </c>
      <c r="G2" s="66">
        <v>-2.1890000000000001</v>
      </c>
      <c r="H2" s="66">
        <v>-0.79199999999999993</v>
      </c>
      <c r="I2" s="66">
        <v>0.79</v>
      </c>
      <c r="J2" s="18">
        <v>-1.7293100000000001</v>
      </c>
      <c r="K2" s="18">
        <v>-0.62568000000000001</v>
      </c>
    </row>
    <row r="3" spans="1:11" x14ac:dyDescent="0.25">
      <c r="A3" s="66" t="s">
        <v>149</v>
      </c>
      <c r="B3" s="66">
        <v>0.41400000000000003</v>
      </c>
      <c r="C3" s="66">
        <v>-2.9369999999999998</v>
      </c>
      <c r="D3" s="66">
        <v>100000</v>
      </c>
      <c r="E3" s="66">
        <v>5</v>
      </c>
      <c r="F3" s="66" t="s">
        <v>188</v>
      </c>
      <c r="G3" s="66">
        <v>0.41400000000000003</v>
      </c>
      <c r="H3" s="66">
        <v>-2.9369999999999998</v>
      </c>
      <c r="I3" s="66">
        <v>1.05</v>
      </c>
      <c r="J3" s="18">
        <v>0.43470000000000003</v>
      </c>
      <c r="K3" s="18">
        <v>-3.08385</v>
      </c>
    </row>
    <row r="4" spans="1:11" x14ac:dyDescent="0.25">
      <c r="A4" s="66" t="s">
        <v>147</v>
      </c>
      <c r="B4" s="66">
        <v>-0.84699999999999998</v>
      </c>
      <c r="C4" s="66">
        <v>-1.694</v>
      </c>
      <c r="D4" s="66">
        <v>100000</v>
      </c>
      <c r="E4" s="66">
        <v>3</v>
      </c>
      <c r="F4" s="66" t="s">
        <v>185</v>
      </c>
      <c r="G4" s="66">
        <v>-84.7</v>
      </c>
      <c r="H4" s="66">
        <v>-169.4</v>
      </c>
      <c r="I4" s="66">
        <v>9.3457943925233638E-3</v>
      </c>
      <c r="J4" s="18">
        <v>-0.79158878504672892</v>
      </c>
      <c r="K4" s="18">
        <v>-1.5831775700934578</v>
      </c>
    </row>
    <row r="5" spans="1:11" x14ac:dyDescent="0.25">
      <c r="A5" s="66" t="s">
        <v>141</v>
      </c>
      <c r="B5" s="66">
        <v>-2.1779999999999999</v>
      </c>
      <c r="C5" s="66">
        <v>-1.2429999999999999</v>
      </c>
      <c r="D5" s="66">
        <v>100000</v>
      </c>
      <c r="E5" s="66">
        <v>5</v>
      </c>
      <c r="F5" s="66" t="s">
        <v>199</v>
      </c>
      <c r="G5" s="66">
        <v>-2.1779999999999999</v>
      </c>
      <c r="H5" s="66">
        <v>-1.2429999999999999</v>
      </c>
      <c r="I5" s="66">
        <v>0.74</v>
      </c>
      <c r="J5" s="18">
        <v>-1.61172</v>
      </c>
      <c r="K5" s="18">
        <v>-0.91981999999999986</v>
      </c>
    </row>
    <row r="6" spans="1:11" x14ac:dyDescent="0.25">
      <c r="A6" s="66" t="s">
        <v>142</v>
      </c>
      <c r="B6" s="66">
        <v>-2.7829999999999999</v>
      </c>
      <c r="C6" s="66">
        <v>-1.65</v>
      </c>
      <c r="D6" s="66">
        <v>100000</v>
      </c>
      <c r="E6" s="66">
        <v>5</v>
      </c>
      <c r="F6" s="66" t="s">
        <v>191</v>
      </c>
      <c r="G6" s="66">
        <v>-2.7829999999999999</v>
      </c>
      <c r="H6" s="66">
        <v>-1.65</v>
      </c>
      <c r="I6" s="66">
        <v>0.76</v>
      </c>
      <c r="J6" s="18">
        <v>-2.1150799999999998</v>
      </c>
      <c r="K6" s="18">
        <v>-1.254</v>
      </c>
    </row>
    <row r="7" spans="1:11" x14ac:dyDescent="0.25">
      <c r="A7" s="66" t="s">
        <v>153</v>
      </c>
      <c r="B7" s="66">
        <v>-2.6070000000000002</v>
      </c>
      <c r="C7" s="66">
        <v>-1.8479999999999999</v>
      </c>
      <c r="D7" s="66">
        <v>100000</v>
      </c>
      <c r="E7" s="66">
        <v>5</v>
      </c>
      <c r="F7" s="66" t="s">
        <v>183</v>
      </c>
      <c r="G7" s="66">
        <v>-2.6070000000000002</v>
      </c>
      <c r="H7" s="66">
        <v>-1.8479999999999999</v>
      </c>
      <c r="I7" s="66">
        <v>1</v>
      </c>
      <c r="J7" s="18">
        <v>-2.6070000000000002</v>
      </c>
      <c r="K7" s="18">
        <v>-1.8479999999999999</v>
      </c>
    </row>
    <row r="8" spans="1:11" x14ac:dyDescent="0.25">
      <c r="A8" s="66" t="s">
        <v>148</v>
      </c>
      <c r="B8" s="66">
        <v>0.75600000000000001</v>
      </c>
      <c r="C8" s="66">
        <v>-3.6850000000000001</v>
      </c>
      <c r="D8" s="66">
        <v>100000</v>
      </c>
      <c r="E8" s="66">
        <v>5</v>
      </c>
      <c r="F8" s="66" t="s">
        <v>188</v>
      </c>
      <c r="G8" s="66">
        <v>0.75600000000000001</v>
      </c>
      <c r="H8" s="66">
        <v>-3.6850000000000001</v>
      </c>
      <c r="I8" s="66">
        <v>1.05</v>
      </c>
      <c r="J8" s="18">
        <v>0.79380000000000006</v>
      </c>
      <c r="K8" s="18">
        <v>-3.8692500000000001</v>
      </c>
    </row>
    <row r="9" spans="1:11" x14ac:dyDescent="0.25">
      <c r="A9" s="66" t="s">
        <v>144</v>
      </c>
      <c r="B9" s="66">
        <v>-0.27500000000000002</v>
      </c>
      <c r="C9" s="66">
        <v>-2.4200000000000004</v>
      </c>
      <c r="D9" s="66">
        <v>100000</v>
      </c>
      <c r="E9" s="66">
        <v>3</v>
      </c>
      <c r="F9" s="66" t="s">
        <v>185</v>
      </c>
      <c r="G9" s="66">
        <v>-27.500000000000004</v>
      </c>
      <c r="H9" s="66">
        <v>-242.00000000000003</v>
      </c>
      <c r="I9" s="66">
        <v>9.3457943925233638E-3</v>
      </c>
      <c r="J9" s="18">
        <v>-0.25700934579439255</v>
      </c>
      <c r="K9" s="18">
        <v>-2.2616822429906542</v>
      </c>
    </row>
    <row r="10" spans="1:11" x14ac:dyDescent="0.25">
      <c r="A10" s="66" t="s">
        <v>105</v>
      </c>
      <c r="B10" s="66">
        <v>7.1999999999999995E-2</v>
      </c>
      <c r="C10" s="66">
        <v>-1.8039999999999998</v>
      </c>
      <c r="D10" s="66">
        <v>100000</v>
      </c>
      <c r="E10" s="66">
        <v>5</v>
      </c>
      <c r="F10" s="66" t="s">
        <v>191</v>
      </c>
      <c r="G10" s="66">
        <v>7.1999999999999995E-2</v>
      </c>
      <c r="H10" s="66">
        <v>-1.8039999999999998</v>
      </c>
      <c r="I10" s="66">
        <v>0.76</v>
      </c>
      <c r="J10" s="18">
        <v>5.4719999999999998E-2</v>
      </c>
      <c r="K10" s="18">
        <v>-1.3710399999999998</v>
      </c>
    </row>
    <row r="11" spans="1:11" x14ac:dyDescent="0.25">
      <c r="A11" s="66" t="s">
        <v>140</v>
      </c>
      <c r="B11" s="66">
        <v>-4.2789999999999999</v>
      </c>
      <c r="C11" s="66">
        <v>0.53099999999999992</v>
      </c>
      <c r="D11" s="66">
        <v>100000</v>
      </c>
      <c r="E11" s="66">
        <v>3</v>
      </c>
      <c r="F11" s="66" t="s">
        <v>185</v>
      </c>
      <c r="G11" s="66">
        <v>-427.9</v>
      </c>
      <c r="H11" s="66">
        <v>53.099999999999994</v>
      </c>
      <c r="I11" s="66">
        <v>9.3457943925233638E-3</v>
      </c>
      <c r="J11" s="18">
        <v>-3.9990654205607474</v>
      </c>
      <c r="K11" s="18">
        <v>0.49626168224299055</v>
      </c>
    </row>
    <row r="12" spans="1:11" x14ac:dyDescent="0.25">
      <c r="A12" s="66" t="s">
        <v>166</v>
      </c>
      <c r="B12" s="66">
        <v>-10.043000000000001</v>
      </c>
      <c r="C12" s="66">
        <v>-2.794</v>
      </c>
      <c r="D12" s="66">
        <v>100000</v>
      </c>
      <c r="E12" s="66">
        <v>5</v>
      </c>
      <c r="F12" s="66" t="s">
        <v>191</v>
      </c>
      <c r="G12" s="66">
        <v>-10.043000000000001</v>
      </c>
      <c r="H12" s="66">
        <v>-2.794</v>
      </c>
      <c r="I12" s="66">
        <v>0.76</v>
      </c>
      <c r="J12" s="18">
        <v>-7.6326800000000006</v>
      </c>
      <c r="K12" s="18">
        <v>-2.12344</v>
      </c>
    </row>
    <row r="13" spans="1:11" x14ac:dyDescent="0.25">
      <c r="A13" s="66" t="s">
        <v>145</v>
      </c>
      <c r="B13" s="66">
        <v>-5.258</v>
      </c>
      <c r="C13" s="66">
        <v>0.26999999999999996</v>
      </c>
      <c r="D13" s="66">
        <v>100000</v>
      </c>
      <c r="E13" s="66">
        <v>5</v>
      </c>
      <c r="F13" s="66" t="s">
        <v>203</v>
      </c>
      <c r="G13" s="66">
        <v>-5.258</v>
      </c>
      <c r="H13" s="66">
        <v>0.26999999999999996</v>
      </c>
      <c r="I13" s="66">
        <v>0.78</v>
      </c>
      <c r="J13" s="18">
        <v>-4.1012399999999998</v>
      </c>
      <c r="K13" s="18">
        <v>0.21059999999999998</v>
      </c>
    </row>
    <row r="14" spans="1:11" x14ac:dyDescent="0.25">
      <c r="A14" s="66" t="s">
        <v>150</v>
      </c>
      <c r="B14" s="66">
        <v>-6.05</v>
      </c>
      <c r="C14" s="66">
        <v>0.93600000000000005</v>
      </c>
      <c r="D14" s="66">
        <v>100000</v>
      </c>
      <c r="E14" s="66">
        <v>5</v>
      </c>
      <c r="F14" s="66" t="s">
        <v>204</v>
      </c>
      <c r="G14" s="66">
        <v>-6.05</v>
      </c>
      <c r="H14" s="66">
        <v>0.93600000000000005</v>
      </c>
      <c r="I14" s="66">
        <v>0.79</v>
      </c>
      <c r="J14" s="18">
        <v>-4.7794999999999996</v>
      </c>
      <c r="K14" s="18">
        <v>0.7394400000000001</v>
      </c>
    </row>
    <row r="15" spans="1:11" x14ac:dyDescent="0.25">
      <c r="A15" s="66" t="s">
        <v>146</v>
      </c>
      <c r="B15" s="66">
        <v>-0.82499999999999996</v>
      </c>
      <c r="C15" s="66">
        <v>-2.6070000000000002</v>
      </c>
      <c r="D15" s="66">
        <v>100000</v>
      </c>
      <c r="E15" s="66">
        <v>5</v>
      </c>
      <c r="F15" s="66" t="s">
        <v>188</v>
      </c>
      <c r="G15" s="66">
        <v>-0.82499999999999996</v>
      </c>
      <c r="H15" s="66">
        <v>-2.6070000000000002</v>
      </c>
      <c r="I15" s="66">
        <v>1.05</v>
      </c>
      <c r="J15" s="18">
        <v>-0.86624999999999996</v>
      </c>
      <c r="K15" s="18">
        <v>-2.7373500000000002</v>
      </c>
    </row>
    <row r="16" spans="1:11" x14ac:dyDescent="0.25">
      <c r="A16" s="66" t="s">
        <v>122</v>
      </c>
      <c r="B16" s="66">
        <v>-3.9710000000000001</v>
      </c>
      <c r="C16" s="66">
        <v>-0.42899999999999999</v>
      </c>
      <c r="D16" s="66">
        <v>100000</v>
      </c>
      <c r="E16" s="66">
        <v>5</v>
      </c>
      <c r="F16" s="66" t="s">
        <v>201</v>
      </c>
      <c r="G16" s="66">
        <v>-3.9710000000000001</v>
      </c>
      <c r="H16" s="66">
        <v>-0.42899999999999999</v>
      </c>
      <c r="I16" s="66">
        <v>1.42</v>
      </c>
      <c r="J16" s="18">
        <v>-5.6388199999999999</v>
      </c>
      <c r="K16" s="18">
        <v>-0.60917999999999994</v>
      </c>
    </row>
    <row r="17" spans="1:11" x14ac:dyDescent="0.25">
      <c r="A17" s="66" t="s">
        <v>126</v>
      </c>
      <c r="B17" s="66">
        <v>-3.63</v>
      </c>
      <c r="C17" s="66">
        <v>-0.19799999999999998</v>
      </c>
      <c r="D17" s="66">
        <v>100000</v>
      </c>
      <c r="E17" s="66">
        <v>3</v>
      </c>
      <c r="F17" s="66" t="s">
        <v>185</v>
      </c>
      <c r="G17" s="66">
        <v>-363</v>
      </c>
      <c r="H17" s="66">
        <v>-19.799999999999997</v>
      </c>
      <c r="I17" s="66">
        <v>9.3457943925233638E-3</v>
      </c>
      <c r="J17" s="18">
        <v>-3.3925233644859811</v>
      </c>
      <c r="K17" s="18">
        <v>-0.18504672897196259</v>
      </c>
    </row>
    <row r="18" spans="1:11" x14ac:dyDescent="0.25">
      <c r="A18" s="66" t="s">
        <v>128</v>
      </c>
      <c r="B18" s="66">
        <v>-6.5119999999999996</v>
      </c>
      <c r="C18" s="66">
        <v>0.63900000000000001</v>
      </c>
      <c r="D18" s="66">
        <v>100000</v>
      </c>
      <c r="E18" s="66">
        <v>5</v>
      </c>
      <c r="F18" s="66" t="s">
        <v>199</v>
      </c>
      <c r="G18" s="66">
        <v>-6.5119999999999996</v>
      </c>
      <c r="H18" s="66">
        <v>0.63900000000000001</v>
      </c>
      <c r="I18" s="66">
        <v>0.74</v>
      </c>
      <c r="J18" s="18">
        <v>-4.8188800000000001</v>
      </c>
      <c r="K18" s="18">
        <v>0.47286</v>
      </c>
    </row>
    <row r="19" spans="1:11" x14ac:dyDescent="0.25">
      <c r="A19" s="66" t="s">
        <v>130</v>
      </c>
      <c r="B19" s="66">
        <v>-7.4140000000000006</v>
      </c>
      <c r="C19" s="66">
        <v>0.16200000000000001</v>
      </c>
      <c r="D19" s="66">
        <v>100000</v>
      </c>
      <c r="E19" s="66">
        <v>5</v>
      </c>
      <c r="F19" s="66" t="s">
        <v>191</v>
      </c>
      <c r="G19" s="66">
        <v>-7.4140000000000006</v>
      </c>
      <c r="H19" s="66">
        <v>0.16200000000000001</v>
      </c>
      <c r="I19" s="66">
        <v>0.76</v>
      </c>
      <c r="J19" s="18">
        <v>-5.6346400000000001</v>
      </c>
      <c r="K19" s="18">
        <v>0.12312000000000001</v>
      </c>
    </row>
    <row r="20" spans="1:11" x14ac:dyDescent="0.25">
      <c r="A20" s="66" t="s">
        <v>127</v>
      </c>
      <c r="B20" s="66">
        <v>-5.3879999999999999</v>
      </c>
      <c r="C20" s="66">
        <v>0.504</v>
      </c>
      <c r="D20" s="66">
        <v>100000</v>
      </c>
      <c r="E20" s="66">
        <v>5</v>
      </c>
      <c r="F20" s="66" t="s">
        <v>183</v>
      </c>
      <c r="G20" s="66">
        <v>-5.3879999999999999</v>
      </c>
      <c r="H20" s="66">
        <v>0.504</v>
      </c>
      <c r="I20" s="66">
        <v>1</v>
      </c>
      <c r="J20" s="18">
        <v>-5.3879999999999999</v>
      </c>
      <c r="K20" s="18">
        <v>0.504</v>
      </c>
    </row>
    <row r="21" spans="1:11" x14ac:dyDescent="0.25">
      <c r="A21" s="66" t="s">
        <v>134</v>
      </c>
      <c r="B21" s="66">
        <v>-3.883</v>
      </c>
      <c r="C21" s="66">
        <v>-4.95</v>
      </c>
      <c r="D21" s="66">
        <v>100000</v>
      </c>
      <c r="E21" s="66">
        <v>5</v>
      </c>
      <c r="F21" s="66" t="s">
        <v>203</v>
      </c>
      <c r="G21" s="66">
        <v>-3.883</v>
      </c>
      <c r="H21" s="66">
        <v>-4.95</v>
      </c>
      <c r="I21" s="66">
        <v>0.78</v>
      </c>
      <c r="J21" s="18">
        <v>-3.02874</v>
      </c>
      <c r="K21" s="18">
        <v>-3.8610000000000002</v>
      </c>
    </row>
    <row r="22" spans="1:11" x14ac:dyDescent="0.25">
      <c r="A22" s="66" t="s">
        <v>135</v>
      </c>
      <c r="B22" s="66">
        <v>-4.8620000000000001</v>
      </c>
      <c r="C22" s="66">
        <v>-3.3439999999999999</v>
      </c>
      <c r="D22" s="66">
        <v>100000</v>
      </c>
      <c r="E22" s="66">
        <v>5</v>
      </c>
      <c r="F22" s="66" t="s">
        <v>204</v>
      </c>
      <c r="G22" s="66">
        <v>-4.8620000000000001</v>
      </c>
      <c r="H22" s="66">
        <v>-3.3439999999999999</v>
      </c>
      <c r="I22" s="66">
        <v>0.79</v>
      </c>
      <c r="J22" s="18">
        <v>-3.8409800000000001</v>
      </c>
      <c r="K22" s="18">
        <v>-2.6417600000000001</v>
      </c>
    </row>
    <row r="23" spans="1:11" x14ac:dyDescent="0.25">
      <c r="A23" s="66" t="s">
        <v>136</v>
      </c>
      <c r="B23" s="66">
        <v>0.33300000000000002</v>
      </c>
      <c r="C23" s="66">
        <v>-6.8310000000000004</v>
      </c>
      <c r="D23" s="66">
        <v>100000</v>
      </c>
      <c r="E23" s="66">
        <v>5</v>
      </c>
      <c r="F23" s="66" t="s">
        <v>188</v>
      </c>
      <c r="G23" s="66">
        <v>0.33300000000000002</v>
      </c>
      <c r="H23" s="66">
        <v>-6.8310000000000004</v>
      </c>
      <c r="I23" s="66">
        <v>1.05</v>
      </c>
      <c r="J23" s="18">
        <v>0.34965000000000002</v>
      </c>
      <c r="K23" s="18">
        <v>-7.1725500000000011</v>
      </c>
    </row>
    <row r="24" spans="1:11" x14ac:dyDescent="0.25">
      <c r="A24" s="66" t="s">
        <v>139</v>
      </c>
      <c r="B24" s="66">
        <v>-2.31</v>
      </c>
      <c r="C24" s="66">
        <v>-4.7080000000000002</v>
      </c>
      <c r="D24" s="66">
        <v>100000</v>
      </c>
      <c r="E24" s="66">
        <v>3</v>
      </c>
      <c r="F24" s="66" t="s">
        <v>185</v>
      </c>
      <c r="G24" s="66">
        <v>-231</v>
      </c>
      <c r="H24" s="66">
        <v>-470.8</v>
      </c>
      <c r="I24" s="66">
        <v>9.3457943925233638E-3</v>
      </c>
      <c r="J24" s="18">
        <v>-2.1588785046728969</v>
      </c>
      <c r="K24" s="18">
        <v>-4.3999999999999995</v>
      </c>
    </row>
    <row r="25" spans="1:11" x14ac:dyDescent="0.25">
      <c r="A25" s="66" t="s">
        <v>138</v>
      </c>
      <c r="B25" s="66">
        <v>-5.6040000000000001</v>
      </c>
      <c r="C25" s="66">
        <v>-5.0640000000000001</v>
      </c>
      <c r="D25" s="66">
        <v>100000</v>
      </c>
      <c r="E25" s="66">
        <v>5</v>
      </c>
      <c r="F25" s="66" t="s">
        <v>199</v>
      </c>
      <c r="G25" s="66">
        <v>-5.6040000000000001</v>
      </c>
      <c r="H25" s="66">
        <v>-5.0640000000000001</v>
      </c>
      <c r="I25" s="66">
        <v>0.74</v>
      </c>
      <c r="J25" s="18">
        <v>-4.14696</v>
      </c>
      <c r="K25" s="18">
        <v>-3.74736</v>
      </c>
    </row>
    <row r="26" spans="1:11" x14ac:dyDescent="0.25">
      <c r="A26" s="66" t="s">
        <v>137</v>
      </c>
      <c r="B26" s="66">
        <v>-4.2789999999999999</v>
      </c>
      <c r="C26" s="66">
        <v>-3.355</v>
      </c>
      <c r="D26" s="66">
        <v>100000</v>
      </c>
      <c r="E26" s="66">
        <v>5</v>
      </c>
      <c r="F26" s="66" t="s">
        <v>191</v>
      </c>
      <c r="G26" s="66">
        <v>-4.2789999999999999</v>
      </c>
      <c r="H26" s="66">
        <v>-3.355</v>
      </c>
      <c r="I26" s="66">
        <v>0.76</v>
      </c>
      <c r="J26" s="18">
        <v>-3.25204</v>
      </c>
      <c r="K26" s="18">
        <v>-2.5497999999999998</v>
      </c>
    </row>
    <row r="27" spans="1:11" x14ac:dyDescent="0.25">
      <c r="A27" s="66" t="s">
        <v>133</v>
      </c>
      <c r="B27" s="66">
        <v>-3.8279999999999998</v>
      </c>
      <c r="C27" s="66">
        <v>-3.1019999999999999</v>
      </c>
      <c r="D27" s="66">
        <v>100000</v>
      </c>
      <c r="E27" s="66">
        <v>5</v>
      </c>
      <c r="F27" s="66" t="s">
        <v>183</v>
      </c>
      <c r="G27" s="66">
        <v>-3.8279999999999998</v>
      </c>
      <c r="H27" s="66">
        <v>-3.1019999999999999</v>
      </c>
      <c r="I27" s="66">
        <v>1</v>
      </c>
      <c r="J27" s="18">
        <v>-3.8279999999999998</v>
      </c>
      <c r="K27" s="18">
        <v>-3.1019999999999999</v>
      </c>
    </row>
    <row r="28" spans="1:11" x14ac:dyDescent="0.25">
      <c r="A28" s="66" t="s">
        <v>154</v>
      </c>
      <c r="B28" s="66">
        <v>-1.595</v>
      </c>
      <c r="C28" s="66">
        <v>-1.089</v>
      </c>
      <c r="D28" s="66">
        <v>100000</v>
      </c>
      <c r="E28" s="66">
        <v>5</v>
      </c>
      <c r="F28" s="66" t="s">
        <v>204</v>
      </c>
      <c r="G28" s="66">
        <v>-1.595</v>
      </c>
      <c r="H28" s="66">
        <v>-1.089</v>
      </c>
      <c r="I28" s="66">
        <v>0.79</v>
      </c>
      <c r="J28" s="18">
        <v>-1.2600500000000001</v>
      </c>
      <c r="K28" s="18">
        <v>-0.86031000000000002</v>
      </c>
    </row>
    <row r="29" spans="1:11" x14ac:dyDescent="0.25">
      <c r="A29" s="66" t="s">
        <v>155</v>
      </c>
      <c r="B29" s="66">
        <v>0.54899999999999993</v>
      </c>
      <c r="C29" s="66">
        <v>-3.0140000000000002</v>
      </c>
      <c r="D29" s="66">
        <v>100000</v>
      </c>
      <c r="E29" s="66">
        <v>5</v>
      </c>
      <c r="F29" s="66" t="s">
        <v>188</v>
      </c>
      <c r="G29" s="66">
        <v>0.54899999999999993</v>
      </c>
      <c r="H29" s="66">
        <v>-3.0140000000000002</v>
      </c>
      <c r="I29" s="66">
        <v>1.05</v>
      </c>
      <c r="J29" s="18">
        <v>0.57644999999999991</v>
      </c>
      <c r="K29" s="18">
        <v>-3.1647000000000003</v>
      </c>
    </row>
    <row r="30" spans="1:11" x14ac:dyDescent="0.25">
      <c r="A30" s="66" t="s">
        <v>156</v>
      </c>
      <c r="B30" s="66">
        <v>-0.45099999999999996</v>
      </c>
      <c r="C30" s="66">
        <v>-1.8259999999999998</v>
      </c>
      <c r="D30" s="66">
        <v>100000</v>
      </c>
      <c r="E30" s="66">
        <v>3</v>
      </c>
      <c r="F30" s="66" t="s">
        <v>185</v>
      </c>
      <c r="G30" s="66">
        <v>-45.099999999999994</v>
      </c>
      <c r="H30" s="66">
        <v>-182.6</v>
      </c>
      <c r="I30" s="66">
        <v>9.3457943925233638E-3</v>
      </c>
      <c r="J30" s="18">
        <v>-0.42149532710280369</v>
      </c>
      <c r="K30" s="18">
        <v>-1.7065420560747662</v>
      </c>
    </row>
    <row r="31" spans="1:11" x14ac:dyDescent="0.25">
      <c r="A31" s="66" t="s">
        <v>151</v>
      </c>
      <c r="B31" s="66">
        <v>-2.3320000000000003</v>
      </c>
      <c r="C31" s="66">
        <v>-1.9359999999999999</v>
      </c>
      <c r="D31" s="66">
        <v>100000</v>
      </c>
      <c r="E31" s="66">
        <v>5</v>
      </c>
      <c r="F31" s="66" t="s">
        <v>191</v>
      </c>
      <c r="G31" s="66">
        <v>-2.3320000000000003</v>
      </c>
      <c r="H31" s="66">
        <v>-1.9359999999999999</v>
      </c>
      <c r="I31" s="66">
        <v>0.76</v>
      </c>
      <c r="J31" s="18">
        <v>-1.7723200000000003</v>
      </c>
      <c r="K31" s="18">
        <v>-1.47136</v>
      </c>
    </row>
    <row r="32" spans="1:11" x14ac:dyDescent="0.25">
      <c r="A32" s="66" t="s">
        <v>152</v>
      </c>
      <c r="B32" s="66">
        <v>-1.8260000000000001</v>
      </c>
      <c r="C32" s="66">
        <v>-1.2</v>
      </c>
      <c r="D32" s="66">
        <v>100000</v>
      </c>
      <c r="E32" s="66">
        <v>5</v>
      </c>
      <c r="F32" s="66" t="s">
        <v>183</v>
      </c>
      <c r="G32" s="66">
        <v>-1.8260000000000001</v>
      </c>
      <c r="H32" s="66">
        <v>-1.2</v>
      </c>
      <c r="I32" s="66">
        <v>1</v>
      </c>
      <c r="J32" s="18">
        <v>-1.8260000000000001</v>
      </c>
      <c r="K32" s="18">
        <v>-1.2</v>
      </c>
    </row>
    <row r="33" spans="1:11" x14ac:dyDescent="0.25">
      <c r="A33" s="66" t="s">
        <v>157</v>
      </c>
      <c r="B33" s="66">
        <v>-0.73199999999999998</v>
      </c>
      <c r="C33" s="66">
        <v>-3.2280000000000002</v>
      </c>
      <c r="D33" s="66">
        <v>100000</v>
      </c>
      <c r="E33" s="66">
        <v>3</v>
      </c>
      <c r="F33" s="66" t="s">
        <v>185</v>
      </c>
      <c r="G33" s="66">
        <v>-73.2</v>
      </c>
      <c r="H33" s="66">
        <v>-322.8</v>
      </c>
      <c r="I33" s="66">
        <v>9.3457943925233638E-3</v>
      </c>
      <c r="J33" s="18">
        <v>-0.68411214953271027</v>
      </c>
      <c r="K33" s="18">
        <v>-3.0168224299065418</v>
      </c>
    </row>
    <row r="34" spans="1:11" x14ac:dyDescent="0.25">
      <c r="A34" s="66" t="s">
        <v>131</v>
      </c>
      <c r="B34" s="66">
        <v>-2.508</v>
      </c>
      <c r="C34" s="66">
        <v>-2.4119999999999999</v>
      </c>
      <c r="D34" s="66">
        <v>100000</v>
      </c>
      <c r="E34" s="66">
        <v>5</v>
      </c>
      <c r="F34" s="66" t="s">
        <v>204</v>
      </c>
      <c r="G34" s="66">
        <v>-2.508</v>
      </c>
      <c r="H34" s="66">
        <v>-2.4119999999999999</v>
      </c>
      <c r="I34" s="66">
        <v>0.79</v>
      </c>
      <c r="J34" s="18">
        <v>-1.9813200000000002</v>
      </c>
      <c r="K34" s="18">
        <v>-1.9054800000000001</v>
      </c>
    </row>
    <row r="35" spans="1:11" x14ac:dyDescent="0.25">
      <c r="A35" s="66" t="s">
        <v>124</v>
      </c>
      <c r="B35" s="66">
        <v>0.43</v>
      </c>
      <c r="C35" s="66">
        <v>-5.15</v>
      </c>
      <c r="D35" s="66">
        <v>100000</v>
      </c>
      <c r="E35" s="66">
        <v>5</v>
      </c>
      <c r="F35" s="66" t="s">
        <v>188</v>
      </c>
      <c r="G35" s="66">
        <v>0.43</v>
      </c>
      <c r="H35" s="66">
        <v>-5.15</v>
      </c>
      <c r="I35" s="66">
        <v>1.05</v>
      </c>
      <c r="J35" s="18">
        <v>0.45150000000000001</v>
      </c>
      <c r="K35" s="18">
        <v>-5.4075000000000006</v>
      </c>
    </row>
    <row r="36" spans="1:11" x14ac:dyDescent="0.25">
      <c r="A36" s="66" t="s">
        <v>132</v>
      </c>
      <c r="B36" s="66">
        <v>-1.3080000000000001</v>
      </c>
      <c r="C36" s="66">
        <v>-3.7680000000000002</v>
      </c>
      <c r="D36" s="66">
        <v>100000</v>
      </c>
      <c r="E36" s="66">
        <v>3</v>
      </c>
      <c r="F36" s="66" t="s">
        <v>185</v>
      </c>
      <c r="G36" s="66">
        <v>-130.80000000000001</v>
      </c>
      <c r="H36" s="66">
        <v>-376.8</v>
      </c>
      <c r="I36" s="66">
        <v>9.3457943925233638E-3</v>
      </c>
      <c r="J36" s="18">
        <v>-1.2224299065420561</v>
      </c>
      <c r="K36" s="18">
        <v>-3.5214953271028038</v>
      </c>
    </row>
    <row r="37" spans="1:11" x14ac:dyDescent="0.25">
      <c r="A37" s="66" t="s">
        <v>125</v>
      </c>
      <c r="B37" s="66">
        <v>-3.78</v>
      </c>
      <c r="C37" s="66">
        <v>-2.82</v>
      </c>
      <c r="D37" s="66">
        <v>100000</v>
      </c>
      <c r="E37" s="66">
        <v>5</v>
      </c>
      <c r="F37" s="66" t="s">
        <v>191</v>
      </c>
      <c r="G37" s="66">
        <v>-3.78</v>
      </c>
      <c r="H37" s="66">
        <v>-2.82</v>
      </c>
      <c r="I37" s="66">
        <v>0.76</v>
      </c>
      <c r="J37" s="18">
        <v>-2.8727999999999998</v>
      </c>
      <c r="K37" s="18">
        <v>-2.1431999999999998</v>
      </c>
    </row>
    <row r="38" spans="1:11" x14ac:dyDescent="0.25">
      <c r="A38" s="66" t="s">
        <v>103</v>
      </c>
      <c r="B38" s="66">
        <v>-10.98</v>
      </c>
      <c r="C38" s="66">
        <v>-14.95</v>
      </c>
      <c r="D38" s="66">
        <v>100000</v>
      </c>
      <c r="E38" s="66">
        <v>5</v>
      </c>
      <c r="F38" s="66" t="s">
        <v>193</v>
      </c>
      <c r="G38" s="66">
        <v>-10.98</v>
      </c>
      <c r="H38" s="66">
        <v>-14.95</v>
      </c>
      <c r="I38" s="66">
        <v>0.17</v>
      </c>
      <c r="J38" s="18">
        <v>-1.8666000000000003</v>
      </c>
      <c r="K38" s="18">
        <v>-2.5415000000000001</v>
      </c>
    </row>
    <row r="39" spans="1:11" x14ac:dyDescent="0.25">
      <c r="A39" s="66" t="s">
        <v>110</v>
      </c>
      <c r="B39" s="66">
        <v>-37.74</v>
      </c>
      <c r="C39" s="66">
        <v>5.7359999999999998</v>
      </c>
      <c r="D39" s="66">
        <v>100000</v>
      </c>
      <c r="E39" s="66">
        <v>5</v>
      </c>
      <c r="F39" s="66" t="s">
        <v>194</v>
      </c>
      <c r="G39" s="66">
        <v>-37.74</v>
      </c>
      <c r="H39" s="66">
        <v>5.7359999999999998</v>
      </c>
      <c r="I39" s="66">
        <v>0.13</v>
      </c>
      <c r="J39" s="18">
        <v>-4.9062000000000001</v>
      </c>
      <c r="K39" s="18">
        <v>0.74568000000000001</v>
      </c>
    </row>
    <row r="40" spans="1:11" x14ac:dyDescent="0.25">
      <c r="A40" s="66" t="s">
        <v>114</v>
      </c>
      <c r="B40" s="66">
        <v>-588.24</v>
      </c>
      <c r="C40" s="66">
        <v>-50.49</v>
      </c>
      <c r="D40" s="66">
        <v>100000</v>
      </c>
      <c r="E40" s="66">
        <v>5</v>
      </c>
      <c r="F40" s="66" t="s">
        <v>198</v>
      </c>
      <c r="G40" s="66">
        <v>-588.24</v>
      </c>
      <c r="H40" s="66">
        <v>-50.49</v>
      </c>
      <c r="I40" s="66">
        <v>5.5E-2</v>
      </c>
      <c r="J40" s="18">
        <v>-32.353200000000001</v>
      </c>
      <c r="K40" s="18">
        <v>-2.7769500000000003</v>
      </c>
    </row>
    <row r="41" spans="1:11" x14ac:dyDescent="0.25">
      <c r="A41" s="66" t="s">
        <v>108</v>
      </c>
      <c r="B41" s="66">
        <v>-36.372</v>
      </c>
      <c r="C41" s="66">
        <v>1.752</v>
      </c>
      <c r="D41" s="66">
        <v>100000</v>
      </c>
      <c r="E41" s="66">
        <v>5</v>
      </c>
      <c r="F41" s="66" t="s">
        <v>190</v>
      </c>
      <c r="G41" s="66">
        <v>-36.372</v>
      </c>
      <c r="H41" s="66">
        <v>1.752</v>
      </c>
      <c r="I41" s="66">
        <v>0.13</v>
      </c>
      <c r="J41" s="18">
        <v>-4.7283600000000003</v>
      </c>
      <c r="K41" s="18">
        <v>0.22776000000000002</v>
      </c>
    </row>
    <row r="42" spans="1:11" x14ac:dyDescent="0.25">
      <c r="A42" s="66" t="s">
        <v>107</v>
      </c>
      <c r="B42" s="66">
        <v>-31.68</v>
      </c>
      <c r="C42" s="66">
        <v>-10.272</v>
      </c>
      <c r="D42" s="66">
        <v>100000</v>
      </c>
      <c r="E42" s="66">
        <v>5</v>
      </c>
      <c r="F42" s="66" t="s">
        <v>196</v>
      </c>
      <c r="G42" s="66">
        <v>-31.68</v>
      </c>
      <c r="H42" s="66">
        <v>-10.272</v>
      </c>
      <c r="I42" s="66">
        <v>0.3</v>
      </c>
      <c r="J42" s="18">
        <v>-9.5039999999999996</v>
      </c>
      <c r="K42" s="18">
        <v>-3.0815999999999999</v>
      </c>
    </row>
    <row r="43" spans="1:11" x14ac:dyDescent="0.25">
      <c r="A43" s="66" t="s">
        <v>104</v>
      </c>
      <c r="B43" s="66">
        <v>-33.323999999999998</v>
      </c>
      <c r="C43" s="66">
        <v>-8.25</v>
      </c>
      <c r="D43" s="66">
        <v>100000</v>
      </c>
      <c r="E43" s="66">
        <v>5</v>
      </c>
      <c r="F43" s="66" t="s">
        <v>189</v>
      </c>
      <c r="G43" s="66">
        <v>-33.323999999999998</v>
      </c>
      <c r="H43" s="66">
        <v>-8.25</v>
      </c>
      <c r="I43" s="66">
        <v>0.12</v>
      </c>
      <c r="J43" s="18">
        <v>-3.9988799999999998</v>
      </c>
      <c r="K43" s="18">
        <v>-0.99</v>
      </c>
    </row>
    <row r="44" spans="1:11" x14ac:dyDescent="0.25">
      <c r="A44" s="66" t="s">
        <v>111</v>
      </c>
      <c r="B44" s="66">
        <v>-776.37599999999998</v>
      </c>
      <c r="C44" s="66">
        <v>0</v>
      </c>
      <c r="D44" s="66">
        <v>100000</v>
      </c>
      <c r="E44" s="66">
        <v>5</v>
      </c>
      <c r="F44" s="66" t="s">
        <v>197</v>
      </c>
      <c r="G44" s="66">
        <v>-776.37599999999998</v>
      </c>
      <c r="H44" s="66">
        <v>0</v>
      </c>
      <c r="I44" s="66">
        <v>0.19047619047619047</v>
      </c>
      <c r="J44" s="18">
        <v>-147.88114285714283</v>
      </c>
      <c r="K44" s="18">
        <v>0</v>
      </c>
    </row>
    <row r="45" spans="1:11" x14ac:dyDescent="0.25">
      <c r="A45" s="66" t="s">
        <v>109</v>
      </c>
      <c r="B45" s="66">
        <v>-64.084000000000003</v>
      </c>
      <c r="C45" s="66">
        <v>-26.315999999999999</v>
      </c>
      <c r="D45" s="66">
        <v>100000</v>
      </c>
      <c r="E45" s="66">
        <v>5</v>
      </c>
      <c r="F45" s="66" t="s">
        <v>194</v>
      </c>
      <c r="G45" s="66">
        <v>-64.084000000000003</v>
      </c>
      <c r="H45" s="66">
        <v>-26.315999999999999</v>
      </c>
      <c r="I45" s="66">
        <v>0.13</v>
      </c>
      <c r="J45" s="18">
        <v>-8.3309200000000008</v>
      </c>
      <c r="K45" s="18">
        <v>-3.4210799999999999</v>
      </c>
    </row>
    <row r="46" spans="1:11" x14ac:dyDescent="0.25">
      <c r="A46" s="66" t="s">
        <v>106</v>
      </c>
      <c r="B46" s="66">
        <v>-24.64</v>
      </c>
      <c r="C46" s="66">
        <v>-27.29</v>
      </c>
      <c r="D46" s="66">
        <v>100000</v>
      </c>
      <c r="E46" s="66">
        <v>5</v>
      </c>
      <c r="F46" s="66" t="s">
        <v>190</v>
      </c>
      <c r="G46" s="66">
        <v>-24.64</v>
      </c>
      <c r="H46" s="66">
        <v>-27.29</v>
      </c>
      <c r="I46" s="66">
        <v>0.13</v>
      </c>
      <c r="J46" s="18">
        <v>-3.2032000000000003</v>
      </c>
      <c r="K46" s="18">
        <v>-3.5476999999999999</v>
      </c>
    </row>
    <row r="47" spans="1:11" x14ac:dyDescent="0.25">
      <c r="A47" s="66" t="s">
        <v>100</v>
      </c>
      <c r="B47" s="66">
        <v>-15.6</v>
      </c>
      <c r="C47" s="66">
        <v>-15</v>
      </c>
      <c r="D47" s="66">
        <v>100000</v>
      </c>
      <c r="E47" s="66">
        <v>5</v>
      </c>
      <c r="F47" s="66" t="s">
        <v>189</v>
      </c>
      <c r="G47" s="66">
        <v>-15.6</v>
      </c>
      <c r="H47" s="66">
        <v>-15</v>
      </c>
      <c r="I47" s="66">
        <v>0.12</v>
      </c>
      <c r="J47" s="18">
        <v>-1.8719999999999999</v>
      </c>
      <c r="K47" s="18">
        <v>-1.7999999999999998</v>
      </c>
    </row>
    <row r="48" spans="1:11" x14ac:dyDescent="0.25">
      <c r="A48" s="66" t="s">
        <v>98</v>
      </c>
      <c r="B48" s="66">
        <v>-0.108</v>
      </c>
      <c r="C48" s="66">
        <v>-1.452</v>
      </c>
      <c r="D48" s="66">
        <v>100000</v>
      </c>
      <c r="E48" s="66">
        <v>3</v>
      </c>
      <c r="F48" s="66" t="s">
        <v>185</v>
      </c>
      <c r="G48" s="66">
        <v>-10.8</v>
      </c>
      <c r="H48" s="66">
        <v>-145.19999999999999</v>
      </c>
      <c r="I48" s="66">
        <v>9.3457943925233638E-3</v>
      </c>
      <c r="J48" s="18">
        <v>-0.10093457943925233</v>
      </c>
      <c r="K48" s="18">
        <v>-1.3570093457943924</v>
      </c>
    </row>
    <row r="49" spans="1:11" x14ac:dyDescent="0.25">
      <c r="A49" s="66" t="s">
        <v>97</v>
      </c>
      <c r="B49" s="66">
        <v>-0.108</v>
      </c>
      <c r="C49" s="66">
        <v>-1.925</v>
      </c>
      <c r="D49" s="66">
        <v>100000</v>
      </c>
      <c r="E49" s="66">
        <v>3</v>
      </c>
      <c r="F49" s="66" t="s">
        <v>185</v>
      </c>
      <c r="G49" s="66">
        <v>-10.8</v>
      </c>
      <c r="H49" s="66">
        <v>-192.5</v>
      </c>
      <c r="I49" s="66">
        <v>9.3457943925233638E-3</v>
      </c>
      <c r="J49" s="18">
        <v>-0.10093457943925233</v>
      </c>
      <c r="K49" s="18">
        <v>-1.7990654205607475</v>
      </c>
    </row>
    <row r="50" spans="1:11" x14ac:dyDescent="0.25">
      <c r="A50" s="66" t="s">
        <v>99</v>
      </c>
      <c r="B50" s="66">
        <v>-0.54</v>
      </c>
      <c r="C50" s="66">
        <v>-1.595</v>
      </c>
      <c r="D50" s="66">
        <v>100000</v>
      </c>
      <c r="E50" s="66">
        <v>3</v>
      </c>
      <c r="F50" s="66" t="s">
        <v>185</v>
      </c>
      <c r="G50" s="66">
        <v>-54</v>
      </c>
      <c r="H50" s="66">
        <v>-159.5</v>
      </c>
      <c r="I50" s="66">
        <v>9.3457943925233638E-3</v>
      </c>
      <c r="J50" s="18">
        <v>-0.50467289719626163</v>
      </c>
      <c r="K50" s="18">
        <v>-1.4906542056074765</v>
      </c>
    </row>
    <row r="51" spans="1:11" x14ac:dyDescent="0.25">
      <c r="A51" s="66" t="s">
        <v>102</v>
      </c>
      <c r="B51" s="66">
        <v>-1.524</v>
      </c>
      <c r="C51" s="66">
        <v>-8.6020000000000003</v>
      </c>
      <c r="D51" s="66">
        <v>100000</v>
      </c>
      <c r="E51" s="66">
        <v>5</v>
      </c>
      <c r="F51" s="66" t="s">
        <v>189</v>
      </c>
      <c r="G51" s="66">
        <v>-1.524</v>
      </c>
      <c r="H51" s="66">
        <v>-8.6020000000000003</v>
      </c>
      <c r="I51" s="66">
        <v>0.12</v>
      </c>
      <c r="J51" s="18">
        <v>-0.18287999999999999</v>
      </c>
      <c r="K51" s="18">
        <v>-1.03224</v>
      </c>
    </row>
    <row r="52" spans="1:11" x14ac:dyDescent="0.25">
      <c r="A52" s="66" t="s">
        <v>101</v>
      </c>
      <c r="B52" s="66">
        <v>-0.26400000000000001</v>
      </c>
      <c r="C52" s="66">
        <v>-0.216</v>
      </c>
      <c r="D52" s="66">
        <v>100000</v>
      </c>
      <c r="E52" s="66">
        <v>3</v>
      </c>
      <c r="F52" s="66" t="s">
        <v>185</v>
      </c>
      <c r="G52" s="66">
        <v>-26.400000000000002</v>
      </c>
      <c r="H52" s="66">
        <v>-21.6</v>
      </c>
      <c r="I52" s="66">
        <v>9.3457943925233638E-3</v>
      </c>
      <c r="J52" s="18">
        <v>-0.24672897196261681</v>
      </c>
      <c r="K52" s="18">
        <v>-0.20186915887850465</v>
      </c>
    </row>
    <row r="53" spans="1:11" x14ac:dyDescent="0.25">
      <c r="A53" s="66" t="s">
        <v>123</v>
      </c>
      <c r="B53" s="66">
        <v>-134.4</v>
      </c>
      <c r="C53" s="66">
        <v>27.111999999999998</v>
      </c>
      <c r="D53" s="66">
        <v>100000</v>
      </c>
      <c r="E53" s="66">
        <v>5</v>
      </c>
      <c r="F53" s="66" t="s">
        <v>202</v>
      </c>
      <c r="G53" s="66">
        <v>-134.4</v>
      </c>
      <c r="H53" s="66">
        <v>27.111999999999998</v>
      </c>
      <c r="I53" s="66">
        <v>0.15938032927976029</v>
      </c>
      <c r="J53" s="18">
        <v>-21.420716255199782</v>
      </c>
      <c r="K53" s="18">
        <v>4.3211194874328607</v>
      </c>
    </row>
    <row r="54" spans="1:11" x14ac:dyDescent="0.25">
      <c r="A54" s="66" t="s">
        <v>116</v>
      </c>
      <c r="B54" s="66">
        <v>3.8759999999999999</v>
      </c>
      <c r="C54" s="66">
        <v>-20.628</v>
      </c>
      <c r="D54" s="66">
        <v>100000</v>
      </c>
      <c r="E54" s="66">
        <v>5</v>
      </c>
      <c r="F54" s="66" t="s">
        <v>193</v>
      </c>
      <c r="G54" s="66">
        <v>3.8759999999999999</v>
      </c>
      <c r="H54" s="66">
        <v>-20.628</v>
      </c>
      <c r="I54" s="66">
        <v>0.17</v>
      </c>
      <c r="J54" s="18">
        <v>0.65892000000000006</v>
      </c>
      <c r="K54" s="18">
        <v>-3.5067600000000003</v>
      </c>
    </row>
    <row r="55" spans="1:11" x14ac:dyDescent="0.25">
      <c r="A55" s="66" t="s">
        <v>117</v>
      </c>
      <c r="B55" s="66">
        <v>0.80400000000000005</v>
      </c>
      <c r="C55" s="66">
        <v>-4.524</v>
      </c>
      <c r="D55" s="66">
        <v>100000</v>
      </c>
      <c r="E55" s="66">
        <v>5</v>
      </c>
      <c r="F55" s="66" t="s">
        <v>194</v>
      </c>
      <c r="G55" s="66">
        <v>0.80400000000000005</v>
      </c>
      <c r="H55" s="66">
        <v>-4.524</v>
      </c>
      <c r="I55" s="66">
        <v>0.13</v>
      </c>
      <c r="J55" s="18">
        <v>0.10452000000000002</v>
      </c>
      <c r="K55" s="18">
        <v>-0.58811999999999998</v>
      </c>
    </row>
    <row r="56" spans="1:11" x14ac:dyDescent="0.25">
      <c r="A56" s="66" t="s">
        <v>118</v>
      </c>
      <c r="B56" s="66">
        <v>-10.992000000000001</v>
      </c>
      <c r="C56" s="66">
        <v>-5.8440000000000003</v>
      </c>
      <c r="D56" s="66">
        <v>100000</v>
      </c>
      <c r="E56" s="66">
        <v>3</v>
      </c>
      <c r="F56" s="66" t="s">
        <v>195</v>
      </c>
      <c r="G56" s="66">
        <v>-1099.2</v>
      </c>
      <c r="H56" s="66">
        <v>-584.4</v>
      </c>
      <c r="I56" s="66">
        <v>4.0000000000000001E-3</v>
      </c>
      <c r="J56" s="18">
        <v>-4.3968000000000007</v>
      </c>
      <c r="K56" s="18">
        <v>-2.3376000000000001</v>
      </c>
    </row>
    <row r="57" spans="1:11" x14ac:dyDescent="0.25">
      <c r="A57" s="66" t="s">
        <v>112</v>
      </c>
      <c r="B57" s="66">
        <v>-444.14400000000001</v>
      </c>
      <c r="C57" s="66">
        <v>0</v>
      </c>
      <c r="D57" s="66">
        <v>100000</v>
      </c>
      <c r="E57" s="66">
        <v>5</v>
      </c>
      <c r="F57" s="66" t="s">
        <v>198</v>
      </c>
      <c r="G57" s="66">
        <v>-444.14400000000001</v>
      </c>
      <c r="H57" s="66">
        <v>0</v>
      </c>
      <c r="I57" s="66">
        <v>5.5E-2</v>
      </c>
      <c r="J57" s="18">
        <v>-24.42792</v>
      </c>
      <c r="K57" s="18">
        <v>0</v>
      </c>
    </row>
    <row r="58" spans="1:11" x14ac:dyDescent="0.25">
      <c r="A58" s="66" t="s">
        <v>129</v>
      </c>
      <c r="B58" s="66">
        <v>-7.32</v>
      </c>
      <c r="C58" s="66">
        <v>-20.568000000000001</v>
      </c>
      <c r="D58" s="66">
        <v>100000</v>
      </c>
      <c r="E58" s="66">
        <v>5</v>
      </c>
      <c r="F58" s="66" t="s">
        <v>190</v>
      </c>
      <c r="G58" s="66">
        <v>-7.32</v>
      </c>
      <c r="H58" s="66">
        <v>-20.568000000000001</v>
      </c>
      <c r="I58" s="66">
        <v>0.13</v>
      </c>
      <c r="J58" s="18">
        <v>-0.95160000000000011</v>
      </c>
      <c r="K58" s="18">
        <v>-2.6738400000000002</v>
      </c>
    </row>
    <row r="59" spans="1:11" x14ac:dyDescent="0.25">
      <c r="A59" s="66" t="s">
        <v>119</v>
      </c>
      <c r="B59" s="66">
        <v>-14.544</v>
      </c>
      <c r="C59" s="66">
        <v>-18.059999999999999</v>
      </c>
      <c r="D59" s="66">
        <v>100000</v>
      </c>
      <c r="E59" s="66">
        <v>5</v>
      </c>
      <c r="F59" s="66" t="s">
        <v>196</v>
      </c>
      <c r="G59" s="66">
        <v>-14.544</v>
      </c>
      <c r="H59" s="66">
        <v>-18.059999999999999</v>
      </c>
      <c r="I59" s="66">
        <v>0.3</v>
      </c>
      <c r="J59" s="18">
        <v>-4.3632</v>
      </c>
      <c r="K59" s="18">
        <v>-5.4179999999999993</v>
      </c>
    </row>
    <row r="60" spans="1:11" x14ac:dyDescent="0.25">
      <c r="A60" s="66" t="s">
        <v>115</v>
      </c>
      <c r="B60" s="66">
        <v>-972.4</v>
      </c>
      <c r="C60" s="66">
        <v>213.5</v>
      </c>
      <c r="D60" s="66">
        <v>100000</v>
      </c>
      <c r="E60" s="66">
        <v>5</v>
      </c>
      <c r="F60" s="66" t="s">
        <v>187</v>
      </c>
      <c r="G60" s="66">
        <v>-972.4</v>
      </c>
      <c r="H60" s="66">
        <v>213.5</v>
      </c>
      <c r="I60" s="66">
        <v>1.6E-2</v>
      </c>
      <c r="J60" s="18">
        <v>-15.558400000000001</v>
      </c>
      <c r="K60" s="18">
        <v>3.4159999999999999</v>
      </c>
    </row>
    <row r="61" spans="1:11" x14ac:dyDescent="0.25">
      <c r="A61" s="66" t="s">
        <v>121</v>
      </c>
      <c r="B61" s="66">
        <v>-4.944</v>
      </c>
      <c r="C61" s="66">
        <v>-25.367999999999999</v>
      </c>
      <c r="D61" s="66">
        <v>100000</v>
      </c>
      <c r="E61" s="66">
        <v>5</v>
      </c>
      <c r="F61" s="66" t="s">
        <v>189</v>
      </c>
      <c r="G61" s="66">
        <v>-4.944</v>
      </c>
      <c r="H61" s="66">
        <v>-25.367999999999999</v>
      </c>
      <c r="I61" s="66">
        <v>0.12</v>
      </c>
      <c r="J61" s="18">
        <v>-0.59327999999999992</v>
      </c>
      <c r="K61" s="18">
        <v>-3.0441599999999998</v>
      </c>
    </row>
    <row r="62" spans="1:11" x14ac:dyDescent="0.25">
      <c r="A62" s="66" t="s">
        <v>113</v>
      </c>
      <c r="B62" s="66">
        <v>-627.12</v>
      </c>
      <c r="C62" s="66">
        <v>0</v>
      </c>
      <c r="D62" s="66">
        <v>100000</v>
      </c>
      <c r="E62" s="66">
        <v>5</v>
      </c>
      <c r="F62" s="66" t="s">
        <v>197</v>
      </c>
      <c r="G62" s="66">
        <v>-627.12</v>
      </c>
      <c r="H62" s="66">
        <v>0</v>
      </c>
      <c r="I62" s="66">
        <v>0.19047619047619047</v>
      </c>
      <c r="J62" s="18">
        <v>-119.45142857142856</v>
      </c>
      <c r="K62" s="18">
        <v>0</v>
      </c>
    </row>
    <row r="63" spans="1:11" x14ac:dyDescent="0.25">
      <c r="A63" s="66" t="s">
        <v>168</v>
      </c>
      <c r="B63" s="66">
        <v>-50</v>
      </c>
      <c r="C63" s="66">
        <v>0</v>
      </c>
      <c r="D63" s="66">
        <v>100000</v>
      </c>
      <c r="E63" s="66">
        <v>5</v>
      </c>
      <c r="F63" s="66" t="s">
        <v>209</v>
      </c>
      <c r="G63" s="66">
        <v>-50</v>
      </c>
      <c r="H63" s="66">
        <v>0</v>
      </c>
      <c r="I63" s="66">
        <v>3.4000000000000002E-2</v>
      </c>
      <c r="J63" s="18">
        <v>-1.7000000000000002</v>
      </c>
      <c r="K63" s="18">
        <v>0</v>
      </c>
    </row>
    <row r="64" spans="1:11" x14ac:dyDescent="0.25">
      <c r="A64" s="66" t="s">
        <v>120</v>
      </c>
      <c r="B64" s="66">
        <v>-297.39600000000002</v>
      </c>
      <c r="C64" s="66">
        <v>0</v>
      </c>
      <c r="D64" s="66">
        <v>100000</v>
      </c>
      <c r="E64" s="66">
        <v>5</v>
      </c>
      <c r="F64" s="66" t="s">
        <v>200</v>
      </c>
      <c r="G64" s="66">
        <v>-297.39600000000002</v>
      </c>
      <c r="H64" s="66">
        <v>0</v>
      </c>
      <c r="I64" s="66">
        <v>8.3000000000000004E-2</v>
      </c>
      <c r="J64" s="18">
        <v>-24.683868000000004</v>
      </c>
      <c r="K64" s="18">
        <v>0</v>
      </c>
    </row>
    <row r="65" spans="1:11" x14ac:dyDescent="0.25">
      <c r="A65" s="66" t="s">
        <v>161</v>
      </c>
      <c r="B65" s="66">
        <v>-42.384</v>
      </c>
      <c r="C65" s="66">
        <v>-201.63</v>
      </c>
      <c r="D65" s="66">
        <v>100</v>
      </c>
      <c r="E65" s="66">
        <v>3</v>
      </c>
      <c r="F65" s="66" t="s">
        <v>183</v>
      </c>
      <c r="G65" s="66">
        <v>-4.2384000000000004</v>
      </c>
      <c r="H65" s="66">
        <v>-20.163</v>
      </c>
      <c r="I65" s="66">
        <v>1</v>
      </c>
      <c r="J65" s="18">
        <v>-4.2384000000000004</v>
      </c>
      <c r="K65" s="18">
        <v>-20.163</v>
      </c>
    </row>
    <row r="66" spans="1:11" x14ac:dyDescent="0.25">
      <c r="A66" s="66" t="s">
        <v>160</v>
      </c>
      <c r="B66" s="66">
        <v>-165.11</v>
      </c>
      <c r="C66" s="66">
        <v>-4.2960000000000003</v>
      </c>
      <c r="D66" s="66">
        <v>50</v>
      </c>
      <c r="E66" s="66">
        <v>3</v>
      </c>
      <c r="F66" s="66" t="s">
        <v>183</v>
      </c>
      <c r="G66" s="66">
        <v>-8.2555000000000014</v>
      </c>
      <c r="H66" s="66">
        <v>-0.21480000000000002</v>
      </c>
      <c r="I66" s="66">
        <v>1</v>
      </c>
      <c r="J66" s="18">
        <v>-8.2555000000000014</v>
      </c>
      <c r="K66" s="18">
        <v>-0.21480000000000002</v>
      </c>
    </row>
    <row r="67" spans="1:11" x14ac:dyDescent="0.25">
      <c r="A67" s="66" t="s">
        <v>159</v>
      </c>
      <c r="B67" s="66">
        <v>-2.3540000000000001</v>
      </c>
      <c r="C67" s="66">
        <v>-0.25</v>
      </c>
      <c r="D67" s="66">
        <v>5000</v>
      </c>
      <c r="E67" s="66">
        <v>3</v>
      </c>
      <c r="F67" s="66" t="s">
        <v>183</v>
      </c>
      <c r="G67" s="66">
        <v>-11.77</v>
      </c>
      <c r="H67" s="66">
        <v>-1.25</v>
      </c>
      <c r="I67" s="66">
        <v>1</v>
      </c>
      <c r="J67" s="18">
        <v>-11.77</v>
      </c>
      <c r="K67" s="18">
        <v>-1.25</v>
      </c>
    </row>
    <row r="68" spans="1:11" x14ac:dyDescent="0.25">
      <c r="A68" s="66" t="s">
        <v>158</v>
      </c>
      <c r="B68" s="66">
        <v>-3.355</v>
      </c>
      <c r="C68" s="66">
        <v>-2.4089999999999998</v>
      </c>
      <c r="D68" s="66">
        <v>100</v>
      </c>
      <c r="E68" s="66">
        <v>2</v>
      </c>
      <c r="F68" s="66" t="s">
        <v>183</v>
      </c>
      <c r="G68" s="66">
        <v>-3.355</v>
      </c>
      <c r="H68" s="66">
        <v>-2.4089999999999998</v>
      </c>
      <c r="I68" s="66">
        <v>1</v>
      </c>
      <c r="J68" s="18">
        <v>-3.355</v>
      </c>
      <c r="K68" s="18">
        <v>-2.4089999999999998</v>
      </c>
    </row>
    <row r="69" spans="1:11" x14ac:dyDescent="0.25">
      <c r="A69" s="66" t="s">
        <v>162</v>
      </c>
      <c r="B69" s="66">
        <v>-8.3333300000000001</v>
      </c>
      <c r="C69" s="66">
        <v>5</v>
      </c>
      <c r="D69" s="66">
        <v>25000</v>
      </c>
      <c r="E69" s="66">
        <v>5</v>
      </c>
      <c r="F69" s="66" t="s">
        <v>183</v>
      </c>
      <c r="G69" s="66">
        <v>-2.0833325</v>
      </c>
      <c r="H69" s="66">
        <v>1.25</v>
      </c>
      <c r="I69" s="66">
        <v>1</v>
      </c>
      <c r="J69" s="18">
        <v>-2.0833325</v>
      </c>
      <c r="K69" s="18">
        <v>1.25</v>
      </c>
    </row>
    <row r="70" spans="1:11" x14ac:dyDescent="0.25">
      <c r="A70" s="66" t="s">
        <v>83</v>
      </c>
      <c r="B70" s="66">
        <v>7.38</v>
      </c>
      <c r="C70" s="66">
        <v>-24.97</v>
      </c>
      <c r="D70" s="66">
        <v>10</v>
      </c>
      <c r="E70" s="66">
        <v>1</v>
      </c>
      <c r="F70" s="66" t="s">
        <v>183</v>
      </c>
      <c r="G70" s="66">
        <v>7.38</v>
      </c>
      <c r="H70" s="66">
        <v>-24.97</v>
      </c>
      <c r="I70" s="66">
        <v>1</v>
      </c>
      <c r="J70" s="18">
        <v>7.38</v>
      </c>
      <c r="K70" s="18">
        <v>-24.97</v>
      </c>
    </row>
    <row r="71" spans="1:11" x14ac:dyDescent="0.25">
      <c r="A71" s="66" t="s">
        <v>84</v>
      </c>
      <c r="B71" s="66">
        <v>-5.3999000000000006</v>
      </c>
      <c r="C71" s="66">
        <v>-5.2778</v>
      </c>
      <c r="D71" s="66">
        <v>20</v>
      </c>
      <c r="E71" s="66">
        <v>1</v>
      </c>
      <c r="F71" s="66" t="s">
        <v>203</v>
      </c>
      <c r="G71" s="66">
        <v>-10.799800000000001</v>
      </c>
      <c r="H71" s="66">
        <v>-10.5556</v>
      </c>
      <c r="I71" s="66">
        <v>0.78</v>
      </c>
      <c r="J71" s="18">
        <v>-8.4238440000000008</v>
      </c>
      <c r="K71" s="18">
        <v>-8.2333680000000005</v>
      </c>
    </row>
    <row r="72" spans="1:11" x14ac:dyDescent="0.25">
      <c r="A72" s="66" t="s">
        <v>85</v>
      </c>
      <c r="B72" s="66">
        <v>-74.965000000000003</v>
      </c>
      <c r="C72" s="66">
        <v>-148.98400000000001</v>
      </c>
      <c r="D72" s="66">
        <v>20</v>
      </c>
      <c r="E72" s="66">
        <v>2</v>
      </c>
      <c r="F72" s="66" t="s">
        <v>186</v>
      </c>
      <c r="G72" s="66">
        <v>-14.993</v>
      </c>
      <c r="H72" s="66">
        <v>-29.796800000000001</v>
      </c>
      <c r="I72" s="66">
        <v>1.2367999999999999</v>
      </c>
      <c r="J72" s="18">
        <v>-18.5433424</v>
      </c>
      <c r="K72" s="18">
        <v>-36.85268224</v>
      </c>
    </row>
    <row r="73" spans="1:11" x14ac:dyDescent="0.25">
      <c r="A73" s="66" t="s">
        <v>86</v>
      </c>
      <c r="B73" s="66">
        <v>-6.1589000000000009</v>
      </c>
      <c r="C73" s="66">
        <v>-9.6899000000000015</v>
      </c>
      <c r="D73" s="66">
        <v>10</v>
      </c>
      <c r="E73" s="66">
        <v>1</v>
      </c>
      <c r="F73" s="66" t="s">
        <v>186</v>
      </c>
      <c r="G73" s="66">
        <v>-6.1589000000000009</v>
      </c>
      <c r="H73" s="66">
        <v>-9.6899000000000015</v>
      </c>
      <c r="I73" s="66">
        <v>1.2367999999999999</v>
      </c>
      <c r="J73" s="18">
        <v>-7.6173275200000008</v>
      </c>
      <c r="K73" s="18">
        <v>-11.984468320000001</v>
      </c>
    </row>
    <row r="74" spans="1:11" x14ac:dyDescent="0.25">
      <c r="A74" s="66" t="s">
        <v>87</v>
      </c>
      <c r="B74" s="66">
        <v>-3.1592000000000002</v>
      </c>
      <c r="C74" s="66">
        <v>-6.2777000000000003</v>
      </c>
      <c r="D74" s="66">
        <v>10</v>
      </c>
      <c r="E74" s="66">
        <v>1</v>
      </c>
      <c r="F74" s="66" t="s">
        <v>186</v>
      </c>
      <c r="G74" s="66">
        <v>-3.1592000000000002</v>
      </c>
      <c r="H74" s="66">
        <v>-6.2777000000000003</v>
      </c>
      <c r="I74" s="66">
        <v>1.2367999999999999</v>
      </c>
      <c r="J74" s="18">
        <v>-3.9072985600000001</v>
      </c>
      <c r="K74" s="18">
        <v>-7.7642593599999996</v>
      </c>
    </row>
    <row r="75" spans="1:11" x14ac:dyDescent="0.25">
      <c r="A75" s="66" t="s">
        <v>88</v>
      </c>
      <c r="B75" s="66">
        <v>-18.809999999999999</v>
      </c>
      <c r="C75" s="66">
        <v>-17.16</v>
      </c>
      <c r="D75" s="66">
        <v>50</v>
      </c>
      <c r="E75" s="66">
        <v>1</v>
      </c>
      <c r="F75" s="66" t="s">
        <v>194</v>
      </c>
      <c r="G75" s="66">
        <v>-94.05</v>
      </c>
      <c r="H75" s="66">
        <v>-85.8</v>
      </c>
      <c r="I75" s="66">
        <v>0.13</v>
      </c>
      <c r="J75" s="18">
        <v>-12.2265</v>
      </c>
      <c r="K75" s="18">
        <v>-11.154</v>
      </c>
    </row>
    <row r="76" spans="1:11" x14ac:dyDescent="0.25">
      <c r="A76" s="66" t="s">
        <v>89</v>
      </c>
      <c r="B76" s="66">
        <v>-2.1164000000000001</v>
      </c>
      <c r="C76" s="66">
        <v>-37.634300000000003</v>
      </c>
      <c r="D76" s="66">
        <v>500</v>
      </c>
      <c r="E76" s="66">
        <v>1</v>
      </c>
      <c r="F76" s="66" t="s">
        <v>185</v>
      </c>
      <c r="G76" s="66">
        <v>-105.82000000000001</v>
      </c>
      <c r="H76" s="66">
        <v>-1881.7150000000001</v>
      </c>
      <c r="I76" s="66">
        <v>9.3457943925233638E-3</v>
      </c>
      <c r="J76" s="18">
        <v>-0.98897196261682241</v>
      </c>
      <c r="K76" s="18">
        <v>-17.586121495327102</v>
      </c>
    </row>
    <row r="77" spans="1:11" x14ac:dyDescent="0.25">
      <c r="A77" s="66" t="s">
        <v>90</v>
      </c>
      <c r="B77" s="66">
        <v>-1.9646000000000001</v>
      </c>
      <c r="C77" s="66">
        <v>-3.9049999999999998</v>
      </c>
      <c r="D77" s="66">
        <v>10</v>
      </c>
      <c r="E77" s="66">
        <v>1</v>
      </c>
      <c r="F77" s="66" t="s">
        <v>186</v>
      </c>
      <c r="G77" s="66">
        <v>-1.9646000000000001</v>
      </c>
      <c r="H77" s="66">
        <v>-3.9049999999999998</v>
      </c>
      <c r="I77" s="66">
        <v>1.2367999999999999</v>
      </c>
      <c r="J77" s="18">
        <v>-2.42981728</v>
      </c>
      <c r="K77" s="18">
        <v>-4.8297039999999996</v>
      </c>
    </row>
    <row r="78" spans="1:11" x14ac:dyDescent="0.25">
      <c r="A78" s="66" t="s">
        <v>91</v>
      </c>
      <c r="B78" s="66">
        <v>18.360899999999997</v>
      </c>
      <c r="C78" s="66">
        <v>-32.381799999999998</v>
      </c>
      <c r="D78" s="66">
        <v>10</v>
      </c>
      <c r="E78" s="66">
        <v>1</v>
      </c>
      <c r="F78" s="66" t="s">
        <v>201</v>
      </c>
      <c r="G78" s="66">
        <v>18.360899999999997</v>
      </c>
      <c r="H78" s="66">
        <v>-32.381799999999998</v>
      </c>
      <c r="I78" s="66">
        <v>1.42</v>
      </c>
      <c r="J78" s="18">
        <v>26.072477999999993</v>
      </c>
      <c r="K78" s="18">
        <v>-45.982155999999996</v>
      </c>
    </row>
    <row r="79" spans="1:11" x14ac:dyDescent="0.25">
      <c r="A79" s="66" t="s">
        <v>92</v>
      </c>
      <c r="B79" s="66">
        <v>-10.35</v>
      </c>
      <c r="C79" s="66">
        <v>-30.75</v>
      </c>
      <c r="D79" s="66">
        <v>1000</v>
      </c>
      <c r="E79" s="66">
        <v>3</v>
      </c>
      <c r="F79" s="66" t="s">
        <v>183</v>
      </c>
      <c r="G79" s="66">
        <v>-10.35</v>
      </c>
      <c r="H79" s="66">
        <v>-30.75</v>
      </c>
      <c r="I79" s="66">
        <v>1</v>
      </c>
      <c r="J79" s="18">
        <v>-10.35</v>
      </c>
      <c r="K79" s="18">
        <v>-30.75</v>
      </c>
    </row>
    <row r="80" spans="1:11" x14ac:dyDescent="0.25">
      <c r="A80" s="66" t="s">
        <v>93</v>
      </c>
      <c r="B80" s="66">
        <v>-7.2467999999999995</v>
      </c>
      <c r="C80" s="66">
        <v>-14.257100000000003</v>
      </c>
      <c r="D80" s="66">
        <v>20</v>
      </c>
      <c r="E80" s="66">
        <v>1</v>
      </c>
      <c r="F80" s="66" t="s">
        <v>183</v>
      </c>
      <c r="G80" s="66">
        <v>-14.493599999999999</v>
      </c>
      <c r="H80" s="66">
        <v>-28.514200000000006</v>
      </c>
      <c r="I80" s="66">
        <v>1</v>
      </c>
      <c r="J80" s="18">
        <v>-14.493599999999999</v>
      </c>
      <c r="K80" s="18">
        <v>-28.514200000000006</v>
      </c>
    </row>
    <row r="81" spans="1:11" x14ac:dyDescent="0.25">
      <c r="A81" s="66" t="s">
        <v>94</v>
      </c>
      <c r="B81" s="66">
        <v>-28.521900000000006</v>
      </c>
      <c r="C81" s="66">
        <v>-25.727900000000002</v>
      </c>
      <c r="D81" s="66">
        <v>10</v>
      </c>
      <c r="E81" s="66">
        <v>1</v>
      </c>
      <c r="F81" s="66" t="s">
        <v>183</v>
      </c>
      <c r="G81" s="66">
        <v>-28.521900000000006</v>
      </c>
      <c r="H81" s="66">
        <v>-25.727900000000002</v>
      </c>
      <c r="I81" s="66">
        <v>1</v>
      </c>
      <c r="J81" s="18">
        <v>-28.521900000000006</v>
      </c>
      <c r="K81" s="18">
        <v>-25.727900000000002</v>
      </c>
    </row>
    <row r="82" spans="1:11" x14ac:dyDescent="0.25">
      <c r="A82" s="66" t="s">
        <v>95</v>
      </c>
      <c r="B82" s="66">
        <v>19.071000000000002</v>
      </c>
      <c r="C82" s="66">
        <v>-86.724000000000004</v>
      </c>
      <c r="D82" s="66">
        <v>50</v>
      </c>
      <c r="E82" s="66">
        <v>2</v>
      </c>
      <c r="F82" s="66" t="s">
        <v>183</v>
      </c>
      <c r="G82" s="66">
        <v>9.5355000000000008</v>
      </c>
      <c r="H82" s="66">
        <v>-43.362000000000002</v>
      </c>
      <c r="I82" s="66">
        <v>1</v>
      </c>
      <c r="J82" s="18">
        <v>9.5355000000000008</v>
      </c>
      <c r="K82" s="18">
        <v>-43.362000000000002</v>
      </c>
    </row>
    <row r="83" spans="1:11" x14ac:dyDescent="0.25">
      <c r="A83" s="66" t="s">
        <v>96</v>
      </c>
      <c r="B83" s="66">
        <v>3.4649999999999999</v>
      </c>
      <c r="C83" s="66">
        <v>-19.459000000000003</v>
      </c>
      <c r="D83" s="66">
        <v>1000</v>
      </c>
      <c r="E83" s="66">
        <v>3</v>
      </c>
      <c r="F83" s="66" t="s">
        <v>183</v>
      </c>
      <c r="G83" s="66">
        <v>3.4649999999999999</v>
      </c>
      <c r="H83" s="66">
        <v>-19.459000000000003</v>
      </c>
      <c r="I83" s="66">
        <v>1</v>
      </c>
      <c r="J83" s="18">
        <v>3.4649999999999999</v>
      </c>
      <c r="K83" s="18">
        <v>-19.459000000000003</v>
      </c>
    </row>
    <row r="84" spans="1:11" x14ac:dyDescent="0.25">
      <c r="A84" s="66" t="s">
        <v>431</v>
      </c>
      <c r="B84" s="66">
        <v>6.3E-2</v>
      </c>
      <c r="C84" s="66">
        <v>-0.82499999999999996</v>
      </c>
      <c r="D84" s="66">
        <v>10000</v>
      </c>
      <c r="E84" s="66">
        <v>3</v>
      </c>
      <c r="F84" s="66" t="s">
        <v>183</v>
      </c>
      <c r="G84" s="66">
        <v>0.63</v>
      </c>
      <c r="H84" s="66">
        <v>-8.25</v>
      </c>
      <c r="I84" s="66">
        <v>1</v>
      </c>
      <c r="J84" s="18">
        <v>0.63</v>
      </c>
      <c r="K84" s="18">
        <v>-8.25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09"/>
  <sheetViews>
    <sheetView workbookViewId="0">
      <selection activeCell="A3" sqref="A3"/>
    </sheetView>
  </sheetViews>
  <sheetFormatPr defaultRowHeight="15" x14ac:dyDescent="0.25"/>
  <cols>
    <col min="1" max="1" width="17.28515625" bestFit="1" customWidth="1"/>
    <col min="2" max="2" width="16.140625" bestFit="1" customWidth="1"/>
    <col min="3" max="3" width="16.7109375" bestFit="1" customWidth="1"/>
    <col min="4" max="4" width="12.85546875" bestFit="1" customWidth="1"/>
    <col min="6" max="19" width="3.5703125" customWidth="1"/>
  </cols>
  <sheetData>
    <row r="1" spans="1:4" x14ac:dyDescent="0.25">
      <c r="A1" s="19" t="s">
        <v>176</v>
      </c>
      <c r="B1" s="19" t="s">
        <v>223</v>
      </c>
      <c r="C1" s="19" t="s">
        <v>224</v>
      </c>
      <c r="D1" s="20" t="s">
        <v>222</v>
      </c>
    </row>
    <row r="2" spans="1:4" x14ac:dyDescent="0.25">
      <c r="A2" s="4" t="s">
        <v>143</v>
      </c>
      <c r="B2" s="4">
        <v>0.76974931026303994</v>
      </c>
      <c r="C2" s="4">
        <v>-2.9410365656538251</v>
      </c>
      <c r="D2" s="4" t="str">
        <f>VLOOKUP(A2,BGI_Core_Symbol!B:G,6,0)</f>
        <v>FX</v>
      </c>
    </row>
    <row r="3" spans="1:4" x14ac:dyDescent="0.25">
      <c r="A3" s="4" t="s">
        <v>149</v>
      </c>
      <c r="B3" s="4">
        <v>3.766956597696888</v>
      </c>
      <c r="C3" s="4">
        <v>-8.0108854593994838</v>
      </c>
      <c r="D3" s="4" t="str">
        <f>VLOOKUP(A3,BGI_Core_Symbol!B:G,6,0)</f>
        <v>FX</v>
      </c>
    </row>
    <row r="4" spans="1:4" x14ac:dyDescent="0.25">
      <c r="A4" s="4" t="s">
        <v>147</v>
      </c>
      <c r="B4" s="4">
        <v>2.7624457471211095</v>
      </c>
      <c r="C4" s="4">
        <v>-6.7981912657846584</v>
      </c>
      <c r="D4" s="4" t="str">
        <f>VLOOKUP(A4,BGI_Core_Symbol!B:G,6,0)</f>
        <v>FX</v>
      </c>
    </row>
    <row r="5" spans="1:4" x14ac:dyDescent="0.25">
      <c r="A5" s="4" t="s">
        <v>141</v>
      </c>
      <c r="B5" s="4">
        <v>-1.5197424824943258</v>
      </c>
      <c r="C5" s="4">
        <v>0.13462032324723383</v>
      </c>
      <c r="D5" s="4" t="str">
        <f>VLOOKUP(A5,BGI_Core_Symbol!B:G,6,0)</f>
        <v>FX</v>
      </c>
    </row>
    <row r="6" spans="1:4" x14ac:dyDescent="0.25">
      <c r="A6" s="4" t="s">
        <v>142</v>
      </c>
      <c r="B6" s="4">
        <v>1.2961855074198614E-3</v>
      </c>
      <c r="C6" s="4">
        <v>-4.9012375755718685</v>
      </c>
      <c r="D6" s="4" t="str">
        <f>VLOOKUP(A6,BGI_Core_Symbol!B:G,6,0)</f>
        <v>FX</v>
      </c>
    </row>
    <row r="7" spans="1:4" x14ac:dyDescent="0.25">
      <c r="A7" s="4" t="s">
        <v>153</v>
      </c>
      <c r="B7" s="4">
        <v>8.1000000000000003E-2</v>
      </c>
      <c r="C7" s="4">
        <v>-0.210662759652468</v>
      </c>
      <c r="D7" s="4" t="str">
        <f>VLOOKUP(A7,BGI_Core_Symbol!B:G,6,0)</f>
        <v>FX</v>
      </c>
    </row>
    <row r="8" spans="1:4" x14ac:dyDescent="0.25">
      <c r="A8" s="4" t="s">
        <v>148</v>
      </c>
      <c r="B8" s="4">
        <v>3.042789189740263</v>
      </c>
      <c r="C8" s="4">
        <v>-6.8952543917452562</v>
      </c>
      <c r="D8" s="4" t="str">
        <f>VLOOKUP(A8,BGI_Core_Symbol!B:G,6,0)</f>
        <v>FX</v>
      </c>
    </row>
    <row r="9" spans="1:4" x14ac:dyDescent="0.25">
      <c r="A9" s="4" t="s">
        <v>144</v>
      </c>
      <c r="B9" s="4">
        <v>1.6993174281146461</v>
      </c>
      <c r="C9" s="4">
        <v>-5.2429109799442735</v>
      </c>
      <c r="D9" s="4" t="str">
        <f>VLOOKUP(A9,BGI_Core_Symbol!B:G,6,0)</f>
        <v>FX</v>
      </c>
    </row>
    <row r="10" spans="1:4" x14ac:dyDescent="0.25">
      <c r="A10" s="4" t="s">
        <v>105</v>
      </c>
      <c r="B10" s="4">
        <v>0.47177159534271246</v>
      </c>
      <c r="C10" s="4">
        <v>-2.1325847201598278</v>
      </c>
      <c r="D10" s="4" t="str">
        <f>VLOOKUP(A10,BGI_Core_Symbol!B:G,6,0)</f>
        <v>FX</v>
      </c>
    </row>
    <row r="11" spans="1:4" x14ac:dyDescent="0.25">
      <c r="A11" s="4" t="s">
        <v>140</v>
      </c>
      <c r="B11" s="4">
        <v>-3.9840884365048099</v>
      </c>
      <c r="C11" s="4">
        <v>1.1284688849651074</v>
      </c>
      <c r="D11" s="4" t="str">
        <f>VLOOKUP(A11,BGI_Core_Symbol!B:G,6,0)</f>
        <v>FX</v>
      </c>
    </row>
    <row r="12" spans="1:4" x14ac:dyDescent="0.25">
      <c r="A12" s="7" t="s">
        <v>166</v>
      </c>
      <c r="B12" s="7">
        <v>-8</v>
      </c>
      <c r="C12" s="7">
        <v>3</v>
      </c>
      <c r="D12" s="7" t="str">
        <f>VLOOKUP(A12,BGI_Core_Symbol!B:G,6,0)</f>
        <v>FX</v>
      </c>
    </row>
    <row r="13" spans="1:4" x14ac:dyDescent="0.25">
      <c r="A13" s="4" t="s">
        <v>145</v>
      </c>
      <c r="B13" s="4">
        <v>-14.773207245662679</v>
      </c>
      <c r="C13" s="4">
        <v>6.829160937927198</v>
      </c>
      <c r="D13" s="4" t="str">
        <f>VLOOKUP(A13,BGI_Core_Symbol!B:G,6,0)</f>
        <v>FX</v>
      </c>
    </row>
    <row r="14" spans="1:4" x14ac:dyDescent="0.25">
      <c r="A14" s="4" t="s">
        <v>150</v>
      </c>
      <c r="B14" s="4">
        <v>-10.769948585360076</v>
      </c>
      <c r="C14" s="4">
        <v>4.7331652512801501</v>
      </c>
      <c r="D14" s="4" t="str">
        <f>VLOOKUP(A14,BGI_Core_Symbol!B:G,6,0)</f>
        <v>FX</v>
      </c>
    </row>
    <row r="15" spans="1:4" x14ac:dyDescent="0.25">
      <c r="A15" s="4" t="s">
        <v>146</v>
      </c>
      <c r="B15" s="4">
        <v>0.70515766320836915</v>
      </c>
      <c r="C15" s="4">
        <v>-2.707643941803898</v>
      </c>
      <c r="D15" s="4" t="str">
        <f>VLOOKUP(A15,BGI_Core_Symbol!B:G,6,0)</f>
        <v>FX</v>
      </c>
    </row>
    <row r="16" spans="1:4" x14ac:dyDescent="0.25">
      <c r="A16" s="4" t="s">
        <v>122</v>
      </c>
      <c r="B16" s="4">
        <v>-3.635754938920944</v>
      </c>
      <c r="C16" s="4">
        <v>1.188991238907297</v>
      </c>
      <c r="D16" s="4" t="str">
        <f>VLOOKUP(A16,BGI_Core_Symbol!B:G,6,0)</f>
        <v>FX</v>
      </c>
    </row>
    <row r="17" spans="1:4" x14ac:dyDescent="0.25">
      <c r="A17" s="4" t="s">
        <v>126</v>
      </c>
      <c r="B17" s="4">
        <v>-2.0720969736195123</v>
      </c>
      <c r="C17" s="4">
        <v>0.21179470734589428</v>
      </c>
      <c r="D17" s="4" t="str">
        <f>VLOOKUP(A17,BGI_Core_Symbol!B:G,6,0)</f>
        <v>FX</v>
      </c>
    </row>
    <row r="18" spans="1:4" x14ac:dyDescent="0.25">
      <c r="A18" s="4" t="s">
        <v>128</v>
      </c>
      <c r="B18" s="4">
        <v>-15.917629480551252</v>
      </c>
      <c r="C18" s="4">
        <v>7.3500912523459814</v>
      </c>
      <c r="D18" s="4" t="str">
        <f>VLOOKUP(A18,BGI_Core_Symbol!B:G,6,0)</f>
        <v>FX</v>
      </c>
    </row>
    <row r="19" spans="1:4" x14ac:dyDescent="0.25">
      <c r="A19" s="4" t="s">
        <v>130</v>
      </c>
      <c r="B19" s="4">
        <v>-12.738582167858358</v>
      </c>
      <c r="C19" s="4">
        <v>3.3418318985786328</v>
      </c>
      <c r="D19" s="4" t="str">
        <f>VLOOKUP(A19,BGI_Core_Symbol!B:G,6,0)</f>
        <v>FX</v>
      </c>
    </row>
    <row r="20" spans="1:4" x14ac:dyDescent="0.25">
      <c r="A20" s="4" t="s">
        <v>127</v>
      </c>
      <c r="B20" s="4">
        <v>-10.239429677651888</v>
      </c>
      <c r="C20" s="4">
        <v>5.5772869658703863</v>
      </c>
      <c r="D20" s="4" t="str">
        <f>VLOOKUP(A20,BGI_Core_Symbol!B:G,6,0)</f>
        <v>FX_20%</v>
      </c>
    </row>
    <row r="21" spans="1:4" x14ac:dyDescent="0.25">
      <c r="A21" s="4" t="s">
        <v>134</v>
      </c>
      <c r="B21" s="4">
        <v>-10.147555929573072</v>
      </c>
      <c r="C21" s="4">
        <v>4.5469305831923785</v>
      </c>
      <c r="D21" s="4" t="str">
        <f>VLOOKUP(A21,BGI_Core_Symbol!B:G,6,0)</f>
        <v>FX</v>
      </c>
    </row>
    <row r="22" spans="1:4" x14ac:dyDescent="0.25">
      <c r="A22" s="4" t="s">
        <v>135</v>
      </c>
      <c r="B22" s="4">
        <v>-6.0208743032590899</v>
      </c>
      <c r="C22" s="4">
        <v>2.4553566514516074</v>
      </c>
      <c r="D22" s="4" t="str">
        <f>VLOOKUP(A22,BGI_Core_Symbol!B:G,6,0)</f>
        <v>FX</v>
      </c>
    </row>
    <row r="23" spans="1:4" x14ac:dyDescent="0.25">
      <c r="A23" s="4" t="s">
        <v>136</v>
      </c>
      <c r="B23" s="4">
        <v>3.290086938993027</v>
      </c>
      <c r="C23" s="4">
        <v>-7.8873825315693171</v>
      </c>
      <c r="D23" s="4" t="str">
        <f>VLOOKUP(A23,BGI_Core_Symbol!B:G,6,0)</f>
        <v>FX</v>
      </c>
    </row>
    <row r="24" spans="1:4" x14ac:dyDescent="0.25">
      <c r="A24" s="4" t="s">
        <v>139</v>
      </c>
      <c r="B24" s="4">
        <v>1.3757282652517433</v>
      </c>
      <c r="C24" s="4">
        <v>-4.879424615543047</v>
      </c>
      <c r="D24" s="4" t="str">
        <f>VLOOKUP(A24,BGI_Core_Symbol!B:G,6,0)</f>
        <v>FX</v>
      </c>
    </row>
    <row r="25" spans="1:4" x14ac:dyDescent="0.25">
      <c r="A25" s="4" t="s">
        <v>138</v>
      </c>
      <c r="B25" s="4">
        <v>-11.748980545116128</v>
      </c>
      <c r="C25" s="4">
        <v>5.3616653184735554</v>
      </c>
      <c r="D25" s="4" t="str">
        <f>VLOOKUP(A25,BGI_Core_Symbol!B:G,6,0)</f>
        <v>FX_20%</v>
      </c>
    </row>
    <row r="26" spans="1:4" x14ac:dyDescent="0.25">
      <c r="A26" s="4" t="s">
        <v>137</v>
      </c>
      <c r="B26" s="4">
        <v>-6.5188174060675115</v>
      </c>
      <c r="C26" s="4">
        <v>0.50720281632642517</v>
      </c>
      <c r="D26" s="4" t="str">
        <f>VLOOKUP(A26,BGI_Core_Symbol!B:G,6,0)</f>
        <v>FX</v>
      </c>
    </row>
    <row r="27" spans="1:4" x14ac:dyDescent="0.25">
      <c r="A27" s="4" t="s">
        <v>133</v>
      </c>
      <c r="B27" s="4">
        <v>-7.9539088820408264</v>
      </c>
      <c r="C27" s="4">
        <v>3.5364588215667636</v>
      </c>
      <c r="D27" s="4" t="str">
        <f>VLOOKUP(A27,BGI_Core_Symbol!B:G,6,0)</f>
        <v>FX</v>
      </c>
    </row>
    <row r="28" spans="1:4" x14ac:dyDescent="0.25">
      <c r="A28" s="4" t="s">
        <v>154</v>
      </c>
      <c r="B28" s="4">
        <v>0.87296449824620603</v>
      </c>
      <c r="C28" s="4">
        <v>-3.0948737480788111</v>
      </c>
      <c r="D28" s="4" t="str">
        <f>VLOOKUP(A28,BGI_Core_Symbol!B:G,6,0)</f>
        <v>FX</v>
      </c>
    </row>
    <row r="29" spans="1:4" x14ac:dyDescent="0.25">
      <c r="A29" s="4" t="s">
        <v>155</v>
      </c>
      <c r="B29" s="4">
        <v>3.4709870599411463</v>
      </c>
      <c r="C29" s="4">
        <v>-9.25779940354915</v>
      </c>
      <c r="D29" s="4" t="str">
        <f>VLOOKUP(A29,BGI_Core_Symbol!B:G,6,0)</f>
        <v>FX</v>
      </c>
    </row>
    <row r="30" spans="1:4" x14ac:dyDescent="0.25">
      <c r="A30" s="4" t="s">
        <v>156</v>
      </c>
      <c r="B30" s="4">
        <v>2.7090978567622037</v>
      </c>
      <c r="C30" s="4">
        <v>-7.8084935971639755</v>
      </c>
      <c r="D30" s="4" t="str">
        <f>VLOOKUP(A30,BGI_Core_Symbol!B:G,6,0)</f>
        <v>FX</v>
      </c>
    </row>
    <row r="31" spans="1:4" x14ac:dyDescent="0.25">
      <c r="A31" s="4" t="s">
        <v>151</v>
      </c>
      <c r="B31" s="4">
        <v>0.73667324029799386</v>
      </c>
      <c r="C31" s="4">
        <v>-5.260245788559109</v>
      </c>
      <c r="D31" s="4" t="str">
        <f>VLOOKUP(A31,BGI_Core_Symbol!B:G,6,0)</f>
        <v>FX</v>
      </c>
    </row>
    <row r="32" spans="1:4" x14ac:dyDescent="0.25">
      <c r="A32" s="4" t="s">
        <v>152</v>
      </c>
      <c r="B32" s="4">
        <v>2.1841503984065858E-2</v>
      </c>
      <c r="C32" s="4">
        <v>-1.0573711029996737</v>
      </c>
      <c r="D32" s="4" t="str">
        <f>VLOOKUP(A32,BGI_Core_Symbol!B:G,6,0)</f>
        <v>FX</v>
      </c>
    </row>
    <row r="33" spans="1:4" x14ac:dyDescent="0.25">
      <c r="A33" s="4" t="s">
        <v>157</v>
      </c>
      <c r="B33" s="4">
        <v>1.3798603880164164</v>
      </c>
      <c r="C33" s="4">
        <v>-5.7184085617944165</v>
      </c>
      <c r="D33" s="4" t="str">
        <f>VLOOKUP(A33,BGI_Core_Symbol!B:G,6,0)</f>
        <v>FX</v>
      </c>
    </row>
    <row r="34" spans="1:4" x14ac:dyDescent="0.25">
      <c r="A34" s="4" t="s">
        <v>131</v>
      </c>
      <c r="B34" s="4">
        <v>1.0334984759814503</v>
      </c>
      <c r="C34" s="4">
        <v>-3.7513825315693152</v>
      </c>
      <c r="D34" s="4" t="str">
        <f>VLOOKUP(A34,BGI_Core_Symbol!B:G,6,0)</f>
        <v>FX</v>
      </c>
    </row>
    <row r="35" spans="1:4" x14ac:dyDescent="0.25">
      <c r="A35" s="4" t="s">
        <v>124</v>
      </c>
      <c r="B35" s="4">
        <v>4.9618108908918241</v>
      </c>
      <c r="C35" s="4">
        <v>-10.569756526023932</v>
      </c>
      <c r="D35" s="4" t="str">
        <f>VLOOKUP(A35,BGI_Core_Symbol!B:G,6,0)</f>
        <v>FX</v>
      </c>
    </row>
    <row r="36" spans="1:4" x14ac:dyDescent="0.25">
      <c r="A36" s="4" t="s">
        <v>132</v>
      </c>
      <c r="B36" s="4">
        <v>4.0604674482726653</v>
      </c>
      <c r="C36" s="4">
        <v>-8.6530623324091032</v>
      </c>
      <c r="D36" s="4" t="str">
        <f>VLOOKUP(A36,BGI_Core_Symbol!B:G,6,0)</f>
        <v>FX_20%</v>
      </c>
    </row>
    <row r="37" spans="1:4" x14ac:dyDescent="0.25">
      <c r="A37" s="4" t="s">
        <v>125</v>
      </c>
      <c r="B37" s="4">
        <v>1.0791280461972894</v>
      </c>
      <c r="C37" s="4">
        <v>-6.7433871731262602</v>
      </c>
      <c r="D37" s="4" t="str">
        <f>VLOOKUP(A37,BGI_Core_Symbol!B:G,6,0)</f>
        <v>FX</v>
      </c>
    </row>
    <row r="38" spans="1:4" x14ac:dyDescent="0.25">
      <c r="A38" s="4" t="s">
        <v>103</v>
      </c>
      <c r="B38" s="4">
        <v>-5.3456032327909622</v>
      </c>
      <c r="C38" s="4">
        <v>-10.374874528270874</v>
      </c>
      <c r="D38" s="4" t="str">
        <f>VLOOKUP(A38,BGI_Core_Symbol!B:G,6,0)</f>
        <v>Exotic Pairs</v>
      </c>
    </row>
    <row r="39" spans="1:4" x14ac:dyDescent="0.25">
      <c r="A39" s="4" t="s">
        <v>110</v>
      </c>
      <c r="B39" s="4">
        <v>-50.191430348309481</v>
      </c>
      <c r="C39" s="4">
        <v>16.313379924172409</v>
      </c>
      <c r="D39" s="4" t="str">
        <f>VLOOKUP(A39,BGI_Core_Symbol!B:G,6,0)</f>
        <v>Exotic Pairs</v>
      </c>
    </row>
    <row r="40" spans="1:4" x14ac:dyDescent="0.25">
      <c r="A40" s="4" t="s">
        <v>114</v>
      </c>
      <c r="B40" s="4">
        <v>-590.88113562818444</v>
      </c>
      <c r="C40" s="4">
        <v>444.67487836179282</v>
      </c>
      <c r="D40" s="4" t="str">
        <f>VLOOKUP(A40,BGI_Core_Symbol!B:G,6,0)</f>
        <v>Exotic Pairs</v>
      </c>
    </row>
    <row r="41" spans="1:4" x14ac:dyDescent="0.25">
      <c r="A41" s="4" t="s">
        <v>108</v>
      </c>
      <c r="B41" s="4">
        <v>-47.450602313930837</v>
      </c>
      <c r="C41" s="4">
        <v>21.529088973115133</v>
      </c>
      <c r="D41" s="4" t="str">
        <f>VLOOKUP(A41,BGI_Core_Symbol!B:G,6,0)</f>
        <v>Exotic Pairs</v>
      </c>
    </row>
    <row r="42" spans="1:4" x14ac:dyDescent="0.25">
      <c r="A42" s="4" t="s">
        <v>107</v>
      </c>
      <c r="B42" s="4">
        <v>-33.39246485080939</v>
      </c>
      <c r="C42" s="4">
        <v>18.779931175746864</v>
      </c>
      <c r="D42" s="4" t="str">
        <f>VLOOKUP(A42,BGI_Core_Symbol!B:G,6,0)</f>
        <v>Exotic Pairs</v>
      </c>
    </row>
    <row r="43" spans="1:4" x14ac:dyDescent="0.25">
      <c r="A43" s="4" t="s">
        <v>104</v>
      </c>
      <c r="B43" s="4">
        <v>-5.0853918336965744</v>
      </c>
      <c r="C43" s="4">
        <v>-16.414313201712506</v>
      </c>
      <c r="D43" s="4" t="str">
        <f>VLOOKUP(A43,BGI_Core_Symbol!B:G,6,0)</f>
        <v>Exotic Pairs</v>
      </c>
    </row>
    <row r="44" spans="1:4" x14ac:dyDescent="0.25">
      <c r="A44" s="4" t="s">
        <v>111</v>
      </c>
      <c r="B44" s="4">
        <v>-227.35886456725237</v>
      </c>
      <c r="C44" s="4">
        <v>160.54886836847049</v>
      </c>
      <c r="D44" s="4" t="str">
        <f>VLOOKUP(A44,BGI_Core_Symbol!B:G,6,0)</f>
        <v>Exotic Pairs</v>
      </c>
    </row>
    <row r="45" spans="1:4" x14ac:dyDescent="0.25">
      <c r="A45" s="4" t="s">
        <v>109</v>
      </c>
      <c r="B45" s="4">
        <v>-14.410063814227614</v>
      </c>
      <c r="C45" s="4">
        <v>-25.763606622586799</v>
      </c>
      <c r="D45" s="4" t="str">
        <f>VLOOKUP(A45,BGI_Core_Symbol!B:G,6,0)</f>
        <v>Exotic Pairs</v>
      </c>
    </row>
    <row r="46" spans="1:4" x14ac:dyDescent="0.25">
      <c r="A46" s="4" t="s">
        <v>106</v>
      </c>
      <c r="B46" s="4">
        <v>-25.210145589425121</v>
      </c>
      <c r="C46" s="4">
        <v>-5.3126057171968704</v>
      </c>
      <c r="D46" s="4" t="str">
        <f>VLOOKUP(A46,BGI_Core_Symbol!B:G,6,0)</f>
        <v>Exotic Pairs</v>
      </c>
    </row>
    <row r="47" spans="1:4" x14ac:dyDescent="0.25">
      <c r="A47" s="4" t="s">
        <v>100</v>
      </c>
      <c r="B47" s="4">
        <v>21.726624075269822</v>
      </c>
      <c r="C47" s="4">
        <v>-57.013840803885302</v>
      </c>
      <c r="D47" s="4" t="str">
        <f>VLOOKUP(A47,BGI_Core_Symbol!B:G,6,0)</f>
        <v>Exotic Pairs</v>
      </c>
    </row>
    <row r="48" spans="1:4" x14ac:dyDescent="0.25">
      <c r="A48" s="4" t="s">
        <v>98</v>
      </c>
      <c r="B48" s="4">
        <v>2.2930434841055333E-3</v>
      </c>
      <c r="C48" s="4">
        <v>-0.66745706254916093</v>
      </c>
      <c r="D48" s="4" t="str">
        <f>VLOOKUP(A48,BGI_Core_Symbol!B:G,6,0)</f>
        <v>Exotic Pairs</v>
      </c>
    </row>
    <row r="49" spans="1:4" x14ac:dyDescent="0.25">
      <c r="A49" s="4" t="s">
        <v>97</v>
      </c>
      <c r="B49" s="4">
        <v>1.0235174821920479</v>
      </c>
      <c r="C49" s="4">
        <v>-1.507707337582159</v>
      </c>
      <c r="D49" s="4" t="str">
        <f>VLOOKUP(A49,BGI_Core_Symbol!B:G,6,0)</f>
        <v>Exotic Pairs</v>
      </c>
    </row>
    <row r="50" spans="1:4" x14ac:dyDescent="0.25">
      <c r="A50" s="4" t="s">
        <v>99</v>
      </c>
      <c r="B50" s="4">
        <v>0.20650021250956141</v>
      </c>
      <c r="C50" s="4">
        <v>-0.59608502505357275</v>
      </c>
      <c r="D50" s="4" t="str">
        <f>VLOOKUP(A50,BGI_Core_Symbol!B:G,6,0)</f>
        <v>Exotic Pairs</v>
      </c>
    </row>
    <row r="51" spans="1:4" x14ac:dyDescent="0.25">
      <c r="A51" s="4" t="s">
        <v>102</v>
      </c>
      <c r="B51" s="4">
        <v>2.9307194005554624</v>
      </c>
      <c r="C51" s="4">
        <v>-5.9859305791049771</v>
      </c>
      <c r="D51" s="4" t="str">
        <f>VLOOKUP(A51,BGI_Core_Symbol!B:G,6,0)</f>
        <v>Exotic Pairs</v>
      </c>
    </row>
    <row r="52" spans="1:4" x14ac:dyDescent="0.25">
      <c r="A52" s="4" t="s">
        <v>101</v>
      </c>
      <c r="B52" s="4">
        <v>-0.27979934331597306</v>
      </c>
      <c r="C52" s="4">
        <v>3.445473965306306E-2</v>
      </c>
      <c r="D52" s="4" t="str">
        <f>VLOOKUP(A52,BGI_Core_Symbol!B:G,6,0)</f>
        <v>Exotic Pairs</v>
      </c>
    </row>
    <row r="53" spans="1:4" x14ac:dyDescent="0.25">
      <c r="A53" s="4" t="s">
        <v>123</v>
      </c>
      <c r="B53" s="4">
        <v>-40.205652616181823</v>
      </c>
      <c r="C53" s="4">
        <v>11.328784481638211</v>
      </c>
      <c r="D53" s="4" t="str">
        <f>VLOOKUP(A53,BGI_Core_Symbol!B:G,6,0)</f>
        <v>Exotic Pairs</v>
      </c>
    </row>
    <row r="54" spans="1:4" x14ac:dyDescent="0.25">
      <c r="A54" s="4" t="s">
        <v>116</v>
      </c>
      <c r="B54" s="4">
        <v>-2.9593030097351605</v>
      </c>
      <c r="C54" s="4">
        <v>-6.8937393251301797</v>
      </c>
      <c r="D54" s="4" t="str">
        <f>VLOOKUP(A54,BGI_Core_Symbol!B:G,6,0)</f>
        <v>Exotic Pairs</v>
      </c>
    </row>
    <row r="55" spans="1:4" x14ac:dyDescent="0.25">
      <c r="A55" s="4" t="s">
        <v>117</v>
      </c>
      <c r="B55" s="4">
        <v>-0.31623709779859377</v>
      </c>
      <c r="C55" s="4">
        <v>-13.28654604873797</v>
      </c>
      <c r="D55" s="4" t="str">
        <f>VLOOKUP(A55,BGI_Core_Symbol!B:G,6,0)</f>
        <v>Exotic Pairs</v>
      </c>
    </row>
    <row r="56" spans="1:4" x14ac:dyDescent="0.25">
      <c r="A56" s="4" t="s">
        <v>118</v>
      </c>
      <c r="B56" s="4">
        <v>0.9967625770059565</v>
      </c>
      <c r="C56" s="4">
        <v>-5.8726219251817993</v>
      </c>
      <c r="D56" s="4" t="str">
        <f>VLOOKUP(A56,BGI_Core_Symbol!B:G,6,0)</f>
        <v>Exotic Pairs</v>
      </c>
    </row>
    <row r="57" spans="1:4" x14ac:dyDescent="0.25">
      <c r="A57" s="4" t="s">
        <v>112</v>
      </c>
      <c r="B57" s="4">
        <v>-347.76868123035581</v>
      </c>
      <c r="C57" s="4">
        <v>251.71506395563819</v>
      </c>
      <c r="D57" s="4" t="str">
        <f>VLOOKUP(A57,BGI_Core_Symbol!B:G,6,0)</f>
        <v>Exotic Pairs</v>
      </c>
    </row>
    <row r="58" spans="1:4" x14ac:dyDescent="0.25">
      <c r="A58" s="4" t="s">
        <v>129</v>
      </c>
      <c r="B58" s="4">
        <v>16.613928292129096</v>
      </c>
      <c r="C58" s="4">
        <v>-34.512858561752289</v>
      </c>
      <c r="D58" s="4" t="str">
        <f>VLOOKUP(A58,BGI_Core_Symbol!B:G,6,0)</f>
        <v>Exotic Pairs</v>
      </c>
    </row>
    <row r="59" spans="1:4" x14ac:dyDescent="0.25">
      <c r="A59" s="4" t="s">
        <v>119</v>
      </c>
      <c r="B59" s="4">
        <v>-2.254647942230823</v>
      </c>
      <c r="C59" s="4">
        <v>0.92091495967865133</v>
      </c>
      <c r="D59" s="4" t="str">
        <f>VLOOKUP(A59,BGI_Core_Symbol!B:G,6,0)</f>
        <v>Exotic Pairs</v>
      </c>
    </row>
    <row r="60" spans="1:4" x14ac:dyDescent="0.25">
      <c r="A60" s="4" t="s">
        <v>115</v>
      </c>
      <c r="B60" s="4">
        <v>-3429.2149870397129</v>
      </c>
      <c r="C60" s="4">
        <v>1289.2138683934977</v>
      </c>
      <c r="D60" s="4" t="str">
        <f>VLOOKUP(A60,BGI_Core_Symbol!B:G,6,0)</f>
        <v>Exotic Pairs</v>
      </c>
    </row>
    <row r="61" spans="1:4" x14ac:dyDescent="0.25">
      <c r="A61" s="4" t="s">
        <v>121</v>
      </c>
      <c r="B61" s="4">
        <v>41.154274294585143</v>
      </c>
      <c r="C61" s="4">
        <v>-79.340704317832504</v>
      </c>
      <c r="D61" s="4" t="str">
        <f>VLOOKUP(A61,BGI_Core_Symbol!B:G,6,0)</f>
        <v>Exotic Pairs</v>
      </c>
    </row>
    <row r="62" spans="1:4" x14ac:dyDescent="0.25">
      <c r="A62" s="4" t="s">
        <v>113</v>
      </c>
      <c r="B62" s="4">
        <v>-471.88251522822179</v>
      </c>
      <c r="C62" s="4">
        <v>311.08295203004849</v>
      </c>
      <c r="D62" s="4" t="str">
        <f>VLOOKUP(A62,BGI_Core_Symbol!B:G,6,0)</f>
        <v>Exotic Pairs</v>
      </c>
    </row>
    <row r="63" spans="1:4" x14ac:dyDescent="0.25">
      <c r="A63" s="7" t="s">
        <v>168</v>
      </c>
      <c r="B63" s="7">
        <v>-50</v>
      </c>
      <c r="C63" s="7">
        <v>0</v>
      </c>
      <c r="D63" s="7" t="str">
        <f>VLOOKUP(A63,BGI_Core_Symbol!B:G,6,0)</f>
        <v>Exotic Pairs</v>
      </c>
    </row>
    <row r="64" spans="1:4" x14ac:dyDescent="0.25">
      <c r="A64" s="4" t="s">
        <v>120</v>
      </c>
      <c r="B64" s="4">
        <v>-58.17711234155054</v>
      </c>
      <c r="C64" s="4">
        <v>19.949005743205923</v>
      </c>
      <c r="D64" s="4" t="str">
        <f>VLOOKUP(A64,BGI_Core_Symbol!B:G,6,0)</f>
        <v>Exotic Pairs</v>
      </c>
    </row>
    <row r="65" spans="1:4" x14ac:dyDescent="0.25">
      <c r="A65" s="4" t="s">
        <v>161</v>
      </c>
      <c r="B65" s="4">
        <v>11.312074466795353</v>
      </c>
      <c r="C65" s="4">
        <v>-301.19149072962762</v>
      </c>
      <c r="D65" s="4" t="str">
        <f>VLOOKUP(A65,BGI_Core_Symbol!B:G,6,0)</f>
        <v>PM</v>
      </c>
    </row>
    <row r="66" spans="1:4" x14ac:dyDescent="0.25">
      <c r="A66" s="4" t="s">
        <v>160</v>
      </c>
      <c r="B66" s="4">
        <v>-149.34668089519116</v>
      </c>
      <c r="C66" s="4">
        <v>7.2916956463310099</v>
      </c>
      <c r="D66" s="4" t="str">
        <f>VLOOKUP(A66,BGI_Core_Symbol!B:G,6,0)</f>
        <v>PM</v>
      </c>
    </row>
    <row r="67" spans="1:4" x14ac:dyDescent="0.25">
      <c r="A67" s="4" t="s">
        <v>159</v>
      </c>
      <c r="B67" s="4">
        <v>-1.9563808397288294</v>
      </c>
      <c r="C67" s="4">
        <v>0.29882598762714718</v>
      </c>
      <c r="D67" s="4" t="str">
        <f>VLOOKUP(A67,BGI_Core_Symbol!B:G,6,0)</f>
        <v>PM</v>
      </c>
    </row>
    <row r="68" spans="1:4" x14ac:dyDescent="0.25">
      <c r="A68" s="4" t="s">
        <v>158</v>
      </c>
      <c r="B68" s="4">
        <v>-11.86537320090312</v>
      </c>
      <c r="C68" s="4">
        <v>4.2230478500428665</v>
      </c>
      <c r="D68" s="4" t="str">
        <f>VLOOKUP(A68,BGI_Core_Symbol!B:G,6,0)</f>
        <v>PM</v>
      </c>
    </row>
    <row r="69" spans="1:4" x14ac:dyDescent="0.25">
      <c r="A69" s="7" t="s">
        <v>162</v>
      </c>
      <c r="B69" s="7">
        <v>-8.3333300000000001</v>
      </c>
      <c r="C69" s="7">
        <v>5</v>
      </c>
      <c r="D69" s="7" t="str">
        <f>VLOOKUP(A69,BGI_Core_Symbol!B:G,6,0)</f>
        <v>PM</v>
      </c>
    </row>
    <row r="70" spans="1:4" x14ac:dyDescent="0.25">
      <c r="A70" s="4" t="s">
        <v>83</v>
      </c>
      <c r="B70" s="4">
        <v>0</v>
      </c>
      <c r="C70" s="4">
        <v>0</v>
      </c>
      <c r="D70" s="4" t="str">
        <f>VLOOKUP(A70,BGI_Core_Symbol!B:G,6,0)</f>
        <v>CFD</v>
      </c>
    </row>
    <row r="71" spans="1:4" x14ac:dyDescent="0.25">
      <c r="A71" s="4" t="s">
        <v>84</v>
      </c>
      <c r="B71" s="4">
        <v>8.6617922586395002E-3</v>
      </c>
      <c r="C71" s="4">
        <v>-14.624780628551042</v>
      </c>
      <c r="D71" s="4" t="str">
        <f>VLOOKUP(A71,BGI_Core_Symbol!B:G,6,0)</f>
        <v>CFD</v>
      </c>
    </row>
    <row r="72" spans="1:4" x14ac:dyDescent="0.25">
      <c r="A72" s="4" t="s">
        <v>85</v>
      </c>
      <c r="B72" s="4">
        <v>-126.06289682083208</v>
      </c>
      <c r="C72" s="4">
        <v>-152.00329286377232</v>
      </c>
      <c r="D72" s="4" t="str">
        <f>VLOOKUP(A72,BGI_Core_Symbol!B:G,6,0)</f>
        <v>CFD</v>
      </c>
    </row>
    <row r="73" spans="1:4" x14ac:dyDescent="0.25">
      <c r="A73" s="4" t="s">
        <v>86</v>
      </c>
      <c r="B73" s="4">
        <v>-7.8420687919687486</v>
      </c>
      <c r="C73" s="4">
        <v>-10.557699988569848</v>
      </c>
      <c r="D73" s="4" t="str">
        <f>VLOOKUP(A73,BGI_Core_Symbol!B:G,6,0)</f>
        <v>CFD</v>
      </c>
    </row>
    <row r="74" spans="1:4" x14ac:dyDescent="0.25">
      <c r="A74" s="4" t="s">
        <v>87</v>
      </c>
      <c r="B74" s="4">
        <v>16.414378543315419</v>
      </c>
      <c r="C74" s="4">
        <v>-32.859932858906518</v>
      </c>
      <c r="D74" s="4" t="str">
        <f>VLOOKUP(A74,BGI_Core_Symbol!B:G,6,0)</f>
        <v>CFD</v>
      </c>
    </row>
    <row r="75" spans="1:4" x14ac:dyDescent="0.25">
      <c r="A75" s="4" t="s">
        <v>88</v>
      </c>
      <c r="B75" s="4">
        <v>94.345784814223393</v>
      </c>
      <c r="C75" s="4">
        <v>-184.23075332046025</v>
      </c>
      <c r="D75" s="4" t="str">
        <f>VLOOKUP(A75,BGI_Core_Symbol!B:G,6,0)</f>
        <v>CFD</v>
      </c>
    </row>
    <row r="76" spans="1:4" x14ac:dyDescent="0.25">
      <c r="A76" s="4" t="s">
        <v>89</v>
      </c>
      <c r="B76" s="4">
        <v>-23.771088214354577</v>
      </c>
      <c r="C76" s="4">
        <v>-24.174940336836247</v>
      </c>
      <c r="D76" s="4" t="str">
        <f>VLOOKUP(A76,BGI_Core_Symbol!B:G,6,0)</f>
        <v>CFD</v>
      </c>
    </row>
    <row r="77" spans="1:4" x14ac:dyDescent="0.25">
      <c r="A77" s="4" t="s">
        <v>90</v>
      </c>
      <c r="B77" s="4">
        <v>8.7098164594595531</v>
      </c>
      <c r="C77" s="4">
        <v>-18.78413385977732</v>
      </c>
      <c r="D77" s="4" t="str">
        <f>VLOOKUP(A77,BGI_Core_Symbol!B:G,6,0)</f>
        <v>CFD</v>
      </c>
    </row>
    <row r="78" spans="1:4" x14ac:dyDescent="0.25">
      <c r="A78" s="4" t="s">
        <v>91</v>
      </c>
      <c r="B78" s="4">
        <v>1.7676460449029827</v>
      </c>
      <c r="C78" s="4">
        <v>-20.019270755466867</v>
      </c>
      <c r="D78" s="4" t="str">
        <f>VLOOKUP(A78,BGI_Core_Symbol!B:G,6,0)</f>
        <v>CFD</v>
      </c>
    </row>
    <row r="79" spans="1:4" x14ac:dyDescent="0.25">
      <c r="A79" s="4" t="s">
        <v>92</v>
      </c>
      <c r="B79" s="4">
        <v>-2.2151012679214945</v>
      </c>
      <c r="C79" s="4">
        <v>-10.31706838002115</v>
      </c>
      <c r="D79" s="4" t="str">
        <f>VLOOKUP(A79,BGI_Core_Symbol!B:G,6,0)</f>
        <v>CFD_20</v>
      </c>
    </row>
    <row r="80" spans="1:4" x14ac:dyDescent="0.25">
      <c r="A80" s="4" t="s">
        <v>93</v>
      </c>
      <c r="B80" s="4">
        <v>-6.5757148122331719</v>
      </c>
      <c r="C80" s="4">
        <v>-8.6778026607688421</v>
      </c>
      <c r="D80" s="4" t="str">
        <f>VLOOKUP(A80,BGI_Core_Symbol!B:G,6,0)</f>
        <v>CFD</v>
      </c>
    </row>
    <row r="81" spans="1:4" x14ac:dyDescent="0.25">
      <c r="A81" s="4" t="s">
        <v>94</v>
      </c>
      <c r="B81" s="4">
        <v>-16.656217540151125</v>
      </c>
      <c r="C81" s="4">
        <v>-40.423492324720229</v>
      </c>
      <c r="D81" s="4" t="str">
        <f>VLOOKUP(A81,BGI_Core_Symbol!B:G,6,0)</f>
        <v>CFD</v>
      </c>
    </row>
    <row r="82" spans="1:4" x14ac:dyDescent="0.25">
      <c r="A82" s="22" t="s">
        <v>95</v>
      </c>
      <c r="B82" s="22">
        <v>-24.184557547170463</v>
      </c>
      <c r="C82" s="22">
        <v>-35.408293523217154</v>
      </c>
      <c r="D82" s="22" t="str">
        <f>VLOOKUP(A82,BGI_Core_Symbol!B:G,6,0)</f>
        <v>CFD</v>
      </c>
    </row>
    <row r="83" spans="1:4" x14ac:dyDescent="0.25">
      <c r="A83" s="22" t="s">
        <v>96</v>
      </c>
      <c r="B83" s="22">
        <v>-7.6626971983527223</v>
      </c>
      <c r="C83" s="22">
        <v>-5.1688523734763674</v>
      </c>
      <c r="D83" s="22" t="str">
        <f>VLOOKUP(A83,BGI_Core_Symbol!B:G,6,0)</f>
        <v>CFD</v>
      </c>
    </row>
    <row r="84" spans="1:4" x14ac:dyDescent="0.25">
      <c r="A84" s="22" t="s">
        <v>226</v>
      </c>
      <c r="B84" s="22">
        <v>-9.6910000000000025</v>
      </c>
      <c r="C84" s="22">
        <v>-3.2230000000000008</v>
      </c>
      <c r="D84" s="22" t="s">
        <v>240</v>
      </c>
    </row>
    <row r="85" spans="1:4" x14ac:dyDescent="0.25">
      <c r="A85" s="22" t="s">
        <v>227</v>
      </c>
      <c r="B85" s="22">
        <v>-6.0169999999999995</v>
      </c>
      <c r="C85" s="22">
        <v>0.95400000000000007</v>
      </c>
      <c r="D85" s="22" t="s">
        <v>240</v>
      </c>
    </row>
    <row r="86" spans="1:4" x14ac:dyDescent="0.25">
      <c r="A86" s="22" t="s">
        <v>229</v>
      </c>
      <c r="B86" s="22">
        <v>-4.4990000000000006</v>
      </c>
      <c r="C86" s="22">
        <v>2.1599999999999997</v>
      </c>
      <c r="D86" s="22" t="s">
        <v>240</v>
      </c>
    </row>
    <row r="87" spans="1:4" x14ac:dyDescent="0.25">
      <c r="A87" s="22" t="s">
        <v>231</v>
      </c>
      <c r="B87" s="22">
        <v>-9.1300000000000008</v>
      </c>
      <c r="C87" s="22">
        <v>3.9509999999999996</v>
      </c>
      <c r="D87" s="22" t="s">
        <v>240</v>
      </c>
    </row>
    <row r="88" spans="1:4" x14ac:dyDescent="0.25">
      <c r="A88" s="22" t="s">
        <v>233</v>
      </c>
      <c r="B88" s="22">
        <v>-15.870284221648923</v>
      </c>
      <c r="C88" s="22">
        <v>9.9397662594475165</v>
      </c>
      <c r="D88" s="22" t="s">
        <v>240</v>
      </c>
    </row>
    <row r="89" spans="1:4" x14ac:dyDescent="0.25">
      <c r="A89" s="22" t="s">
        <v>234</v>
      </c>
      <c r="B89" s="22">
        <v>3.0514727573618345</v>
      </c>
      <c r="C89" s="22">
        <v>-13.796503863064538</v>
      </c>
      <c r="D89" s="22" t="s">
        <v>240</v>
      </c>
    </row>
    <row r="90" spans="1:4" x14ac:dyDescent="0.25">
      <c r="A90" s="22" t="s">
        <v>235</v>
      </c>
      <c r="B90" s="22">
        <v>-2.3579947335176095</v>
      </c>
      <c r="C90" s="22">
        <v>-0.83432801739588913</v>
      </c>
      <c r="D90" s="22" t="s">
        <v>240</v>
      </c>
    </row>
    <row r="91" spans="1:4" x14ac:dyDescent="0.25">
      <c r="A91" s="22" t="s">
        <v>236</v>
      </c>
      <c r="B91" s="22">
        <v>-1.1440000000000001</v>
      </c>
      <c r="C91" s="22">
        <v>0.57599999999999996</v>
      </c>
      <c r="D91" s="22" t="s">
        <v>240</v>
      </c>
    </row>
    <row r="92" spans="1:4" x14ac:dyDescent="0.25">
      <c r="A92" s="22" t="s">
        <v>238</v>
      </c>
      <c r="B92" s="22">
        <v>-1.958</v>
      </c>
      <c r="C92" s="22">
        <v>1.7999999999999999E-2</v>
      </c>
      <c r="D92" s="22" t="s">
        <v>240</v>
      </c>
    </row>
    <row r="93" spans="1:4" x14ac:dyDescent="0.25">
      <c r="A93" s="22" t="s">
        <v>239</v>
      </c>
      <c r="B93" s="22">
        <v>-3.0645694814020394E-2</v>
      </c>
      <c r="C93" s="22">
        <v>-2.129013797357219</v>
      </c>
      <c r="D93" s="22" t="s">
        <v>240</v>
      </c>
    </row>
    <row r="94" spans="1:4" x14ac:dyDescent="0.25">
      <c r="A94" s="4" t="s">
        <v>78</v>
      </c>
      <c r="B94" s="4">
        <v>-1053.808</v>
      </c>
      <c r="C94" s="4">
        <v>-1052.114</v>
      </c>
      <c r="D94" s="22" t="e">
        <f>VLOOKUP(A94,BGI_Core_Symbol!B:G,6,0)</f>
        <v>#N/A</v>
      </c>
    </row>
    <row r="95" spans="1:4" x14ac:dyDescent="0.25">
      <c r="A95" s="4" t="s">
        <v>271</v>
      </c>
      <c r="B95" s="4">
        <v>-898.43600000000004</v>
      </c>
      <c r="C95" s="4">
        <v>-897.07799999999997</v>
      </c>
      <c r="D95" s="22" t="e">
        <f>VLOOKUP(A95,BGI_Core_Symbol!B:G,6,0)</f>
        <v>#N/A</v>
      </c>
    </row>
    <row r="96" spans="1:4" x14ac:dyDescent="0.25">
      <c r="A96" s="4" t="s">
        <v>280</v>
      </c>
      <c r="B96" s="4">
        <v>-787.20600000000002</v>
      </c>
      <c r="C96" s="4">
        <v>-786.00199999999995</v>
      </c>
      <c r="D96" s="22" t="e">
        <f>VLOOKUP(A96,BGI_Core_Symbol!B:G,6,0)</f>
        <v>#N/A</v>
      </c>
    </row>
    <row r="97" spans="1:4" x14ac:dyDescent="0.25">
      <c r="A97" s="4" t="s">
        <v>78</v>
      </c>
      <c r="B97" s="4">
        <v>-1053.808</v>
      </c>
      <c r="C97" s="4">
        <v>-1052.114</v>
      </c>
      <c r="D97" s="22" t="e">
        <f>VLOOKUP(A97,BGI_Core_Symbol!B:G,6,0)</f>
        <v>#N/A</v>
      </c>
    </row>
    <row r="98" spans="1:4" x14ac:dyDescent="0.25">
      <c r="A98" s="4" t="s">
        <v>272</v>
      </c>
      <c r="B98" s="4">
        <v>-0.63800000000000001</v>
      </c>
      <c r="C98" s="4">
        <v>-0.63</v>
      </c>
      <c r="D98" s="22" t="e">
        <f>VLOOKUP(A98,BGI_Core_Symbol!B:G,6,0)</f>
        <v>#N/A</v>
      </c>
    </row>
    <row r="99" spans="1:4" x14ac:dyDescent="0.25">
      <c r="A99" s="4" t="s">
        <v>217</v>
      </c>
      <c r="B99" s="4">
        <v>-4765.18</v>
      </c>
      <c r="C99" s="4">
        <v>-4752.72</v>
      </c>
      <c r="D99" s="22" t="e">
        <f>VLOOKUP(A99,BGI_Core_Symbol!B:G,6,0)</f>
        <v>#N/A</v>
      </c>
    </row>
    <row r="100" spans="1:4" x14ac:dyDescent="0.25">
      <c r="A100" s="4" t="s">
        <v>273</v>
      </c>
      <c r="B100" s="4">
        <v>-38.701999999999998</v>
      </c>
      <c r="C100" s="4">
        <v>-34.03</v>
      </c>
      <c r="D100" s="22" t="e">
        <f>VLOOKUP(A100,BGI_Core_Symbol!B:G,6,0)</f>
        <v>#N/A</v>
      </c>
    </row>
    <row r="101" spans="1:4" x14ac:dyDescent="0.25">
      <c r="A101" s="4" t="s">
        <v>274</v>
      </c>
      <c r="B101" s="4">
        <v>-1.1020000000000001</v>
      </c>
      <c r="C101" s="4">
        <v>-1.0900000000000001</v>
      </c>
      <c r="D101" s="22" t="e">
        <f>VLOOKUP(A101,BGI_Core_Symbol!B:G,6,0)</f>
        <v>#N/A</v>
      </c>
    </row>
    <row r="102" spans="1:4" x14ac:dyDescent="0.25">
      <c r="A102" s="4" t="s">
        <v>275</v>
      </c>
      <c r="B102" s="4">
        <v>-7021.49</v>
      </c>
      <c r="C102" s="4">
        <v>-7013.23</v>
      </c>
      <c r="D102" s="22" t="e">
        <f>VLOOKUP(A102,BGI_Core_Symbol!B:G,6,0)</f>
        <v>#N/A</v>
      </c>
    </row>
    <row r="103" spans="1:4" x14ac:dyDescent="0.25">
      <c r="A103" s="4" t="s">
        <v>219</v>
      </c>
      <c r="B103" s="4">
        <v>-8235.92</v>
      </c>
      <c r="C103" s="4">
        <v>-8225.14</v>
      </c>
      <c r="D103" s="22" t="e">
        <f>VLOOKUP(A103,BGI_Core_Symbol!B:G,6,0)</f>
        <v>#N/A</v>
      </c>
    </row>
    <row r="104" spans="1:4" x14ac:dyDescent="0.25">
      <c r="A104" s="4" t="s">
        <v>276</v>
      </c>
      <c r="B104" s="4">
        <v>-0.23200000000000001</v>
      </c>
      <c r="C104" s="4">
        <v>-0.22600000000000001</v>
      </c>
      <c r="D104" s="22" t="e">
        <f>VLOOKUP(A104,BGI_Core_Symbol!B:G,6,0)</f>
        <v>#N/A</v>
      </c>
    </row>
    <row r="105" spans="1:4" x14ac:dyDescent="0.25">
      <c r="A105" s="4" t="s">
        <v>277</v>
      </c>
      <c r="B105" s="4">
        <v>-14.944000000000001</v>
      </c>
      <c r="C105" s="4">
        <v>-14.292</v>
      </c>
      <c r="D105" s="22" t="e">
        <f>VLOOKUP(A105,BGI_Core_Symbol!B:G,6,0)</f>
        <v>#N/A</v>
      </c>
    </row>
    <row r="106" spans="1:4" x14ac:dyDescent="0.25">
      <c r="A106" s="4" t="s">
        <v>218</v>
      </c>
      <c r="B106" s="4">
        <v>-1718.22</v>
      </c>
      <c r="C106" s="4">
        <v>-1711.78</v>
      </c>
      <c r="D106" s="22" t="e">
        <f>VLOOKUP(A106,BGI_Core_Symbol!B:G,6,0)</f>
        <v>#N/A</v>
      </c>
    </row>
    <row r="107" spans="1:4" x14ac:dyDescent="0.25">
      <c r="A107" s="4" t="s">
        <v>279</v>
      </c>
      <c r="B107" s="4">
        <v>-0.318</v>
      </c>
      <c r="C107" s="4">
        <v>-0.318</v>
      </c>
      <c r="D107" s="22" t="e">
        <f>VLOOKUP(A107,BGI_Core_Symbol!B:G,6,0)</f>
        <v>#N/A</v>
      </c>
    </row>
    <row r="108" spans="1:4" x14ac:dyDescent="0.25">
      <c r="A108" s="4" t="s">
        <v>278</v>
      </c>
      <c r="B108" s="4">
        <v>-7.73</v>
      </c>
      <c r="C108" s="4">
        <v>-7.24</v>
      </c>
      <c r="D108" s="22" t="e">
        <f>VLOOKUP(A108,BGI_Core_Symbol!B:G,6,0)</f>
        <v>#N/A</v>
      </c>
    </row>
    <row r="109" spans="1:4" x14ac:dyDescent="0.25">
      <c r="A109" s="4" t="s">
        <v>220</v>
      </c>
      <c r="B109" s="4">
        <v>-8.8699999999999992</v>
      </c>
      <c r="C109" s="4">
        <v>-8.6720000000000006</v>
      </c>
      <c r="D109" s="22" t="e">
        <f>VLOOKUP(A109,BGI_Core_Symbol!B:G,6,0)</f>
        <v>#N/A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39"/>
  <sheetViews>
    <sheetView tabSelected="1" topLeftCell="A25" workbookViewId="0">
      <selection activeCell="I27" sqref="I27"/>
    </sheetView>
  </sheetViews>
  <sheetFormatPr defaultRowHeight="15" x14ac:dyDescent="0.25"/>
  <cols>
    <col min="1" max="1" width="14.5703125" bestFit="1" customWidth="1"/>
  </cols>
  <sheetData>
    <row r="1" spans="1:3" ht="45" x14ac:dyDescent="0.25">
      <c r="A1" s="12" t="s">
        <v>176</v>
      </c>
      <c r="B1" s="12" t="s">
        <v>171</v>
      </c>
      <c r="C1" s="12" t="s">
        <v>172</v>
      </c>
    </row>
    <row r="2" spans="1:3" x14ac:dyDescent="0.25">
      <c r="A2" s="58" t="s">
        <v>92</v>
      </c>
      <c r="B2" s="58">
        <v>-10.35</v>
      </c>
      <c r="C2" s="58">
        <v>-30.75</v>
      </c>
    </row>
    <row r="3" spans="1:3" x14ac:dyDescent="0.25">
      <c r="A3" s="57" t="s">
        <v>103</v>
      </c>
      <c r="B3" s="57">
        <v>-10.98</v>
      </c>
      <c r="C3" s="57">
        <v>-14.95</v>
      </c>
    </row>
    <row r="4" spans="1:3" x14ac:dyDescent="0.25">
      <c r="A4" s="3" t="s">
        <v>114</v>
      </c>
      <c r="B4" s="3">
        <v>-588.24</v>
      </c>
      <c r="C4" s="3">
        <v>-50.49</v>
      </c>
    </row>
    <row r="5" spans="1:3" x14ac:dyDescent="0.25">
      <c r="A5" s="3" t="s">
        <v>111</v>
      </c>
      <c r="B5" s="7">
        <v>-776.37599999999998</v>
      </c>
      <c r="C5" s="7">
        <v>0</v>
      </c>
    </row>
    <row r="6" spans="1:3" x14ac:dyDescent="0.25">
      <c r="A6" s="3" t="s">
        <v>106</v>
      </c>
      <c r="B6" s="3">
        <v>-24.64</v>
      </c>
      <c r="C6" s="3">
        <v>-27.29</v>
      </c>
    </row>
    <row r="7" spans="1:3" x14ac:dyDescent="0.25">
      <c r="A7" s="3" t="s">
        <v>113</v>
      </c>
      <c r="B7" s="7">
        <v>-627.12</v>
      </c>
      <c r="C7" s="7">
        <v>0</v>
      </c>
    </row>
    <row r="8" spans="1:3" x14ac:dyDescent="0.25">
      <c r="A8" s="3" t="s">
        <v>168</v>
      </c>
      <c r="B8" s="3">
        <v>-50</v>
      </c>
      <c r="C8" s="3">
        <v>0</v>
      </c>
    </row>
    <row r="9" spans="1:3" x14ac:dyDescent="0.25">
      <c r="A9" s="3" t="s">
        <v>162</v>
      </c>
      <c r="B9" s="51">
        <v>-8.3333300000000001</v>
      </c>
      <c r="C9" s="51">
        <v>5</v>
      </c>
    </row>
    <row r="10" spans="1:3" x14ac:dyDescent="0.25">
      <c r="A10" s="55" t="s">
        <v>152</v>
      </c>
      <c r="B10" s="55">
        <v>-1.8260000000000001</v>
      </c>
      <c r="C10" s="7">
        <v>-1.2</v>
      </c>
    </row>
    <row r="11" spans="1:3" x14ac:dyDescent="0.25">
      <c r="A11" s="55" t="s">
        <v>157</v>
      </c>
      <c r="B11" s="7">
        <v>-0.73199999999999998</v>
      </c>
      <c r="C11" s="55">
        <v>-3.2280000000000002</v>
      </c>
    </row>
    <row r="12" spans="1:3" x14ac:dyDescent="0.25">
      <c r="A12" s="55" t="s">
        <v>131</v>
      </c>
      <c r="B12" s="55">
        <v>-2.508</v>
      </c>
      <c r="C12" s="55">
        <v>-2.4119999999999999</v>
      </c>
    </row>
    <row r="13" spans="1:3" x14ac:dyDescent="0.25">
      <c r="A13" s="55" t="s">
        <v>124</v>
      </c>
      <c r="B13" s="7">
        <v>0.43</v>
      </c>
      <c r="C13" s="55">
        <v>-5.15</v>
      </c>
    </row>
    <row r="14" spans="1:3" x14ac:dyDescent="0.25">
      <c r="A14" s="55" t="s">
        <v>125</v>
      </c>
      <c r="B14" s="55">
        <v>-3.78</v>
      </c>
      <c r="C14" s="55">
        <v>-2.82</v>
      </c>
    </row>
    <row r="15" spans="1:3" x14ac:dyDescent="0.25">
      <c r="A15" s="55" t="s">
        <v>110</v>
      </c>
      <c r="B15" s="55">
        <v>-37.74</v>
      </c>
      <c r="C15" s="55">
        <v>5.7359999999999998</v>
      </c>
    </row>
    <row r="16" spans="1:3" x14ac:dyDescent="0.25">
      <c r="A16" s="55" t="s">
        <v>108</v>
      </c>
      <c r="B16" s="55">
        <v>-36.372</v>
      </c>
      <c r="C16" s="55">
        <v>1.752</v>
      </c>
    </row>
    <row r="17" spans="1:3" x14ac:dyDescent="0.25">
      <c r="A17" s="55" t="s">
        <v>107</v>
      </c>
      <c r="B17" s="55">
        <v>-31.68</v>
      </c>
      <c r="C17" s="55">
        <v>-10.272</v>
      </c>
    </row>
    <row r="18" spans="1:3" x14ac:dyDescent="0.25">
      <c r="A18" s="55" t="s">
        <v>104</v>
      </c>
      <c r="B18" s="55">
        <v>-33.323999999999998</v>
      </c>
      <c r="C18" s="55">
        <v>-8.25</v>
      </c>
    </row>
    <row r="19" spans="1:3" x14ac:dyDescent="0.25">
      <c r="A19" s="55" t="s">
        <v>109</v>
      </c>
      <c r="B19" s="55">
        <v>-64.084000000000003</v>
      </c>
      <c r="C19" s="55">
        <v>-26.315999999999999</v>
      </c>
    </row>
    <row r="20" spans="1:3" x14ac:dyDescent="0.25">
      <c r="A20" s="55" t="s">
        <v>100</v>
      </c>
      <c r="B20" s="7">
        <v>-15.6</v>
      </c>
      <c r="C20" s="55">
        <v>-15</v>
      </c>
    </row>
    <row r="21" spans="1:3" x14ac:dyDescent="0.25">
      <c r="A21" s="55" t="s">
        <v>98</v>
      </c>
      <c r="B21" s="55">
        <v>-0.108</v>
      </c>
      <c r="C21" s="55">
        <v>-1.452</v>
      </c>
    </row>
    <row r="22" spans="1:3" x14ac:dyDescent="0.25">
      <c r="A22" s="55" t="s">
        <v>97</v>
      </c>
      <c r="B22" s="55">
        <v>-0.108</v>
      </c>
      <c r="C22" s="55">
        <v>-1.925</v>
      </c>
    </row>
    <row r="23" spans="1:3" x14ac:dyDescent="0.25">
      <c r="A23" s="55" t="s">
        <v>99</v>
      </c>
      <c r="B23" s="55">
        <v>-0.54</v>
      </c>
      <c r="C23" s="55">
        <v>-1.595</v>
      </c>
    </row>
    <row r="24" spans="1:3" x14ac:dyDescent="0.25">
      <c r="A24" s="55" t="s">
        <v>102</v>
      </c>
      <c r="B24" s="55">
        <v>-1.524</v>
      </c>
      <c r="C24" s="55">
        <v>-8.6020000000000003</v>
      </c>
    </row>
    <row r="25" spans="1:3" x14ac:dyDescent="0.25">
      <c r="A25" s="55" t="s">
        <v>101</v>
      </c>
      <c r="B25" s="55">
        <v>-0.26400000000000001</v>
      </c>
      <c r="C25" s="55">
        <v>-0.216</v>
      </c>
    </row>
    <row r="26" spans="1:3" x14ac:dyDescent="0.25">
      <c r="A26" s="55" t="s">
        <v>123</v>
      </c>
      <c r="B26" s="55">
        <v>-134.4</v>
      </c>
      <c r="C26" s="55">
        <v>27.111999999999998</v>
      </c>
    </row>
    <row r="27" spans="1:3" x14ac:dyDescent="0.25">
      <c r="A27" s="55" t="s">
        <v>116</v>
      </c>
      <c r="B27" s="55">
        <v>3.8759999999999999</v>
      </c>
      <c r="C27" s="55">
        <v>-20.628</v>
      </c>
    </row>
    <row r="28" spans="1:3" x14ac:dyDescent="0.25">
      <c r="A28" s="55" t="s">
        <v>117</v>
      </c>
      <c r="B28" s="55">
        <v>0.80400000000000005</v>
      </c>
      <c r="C28" s="55">
        <v>-4.524</v>
      </c>
    </row>
    <row r="29" spans="1:3" x14ac:dyDescent="0.25">
      <c r="A29" s="55" t="s">
        <v>118</v>
      </c>
      <c r="B29" s="55">
        <v>-10.992000000000001</v>
      </c>
      <c r="C29" s="55">
        <v>-5.8440000000000003</v>
      </c>
    </row>
    <row r="30" spans="1:3" x14ac:dyDescent="0.25">
      <c r="A30" s="55" t="s">
        <v>112</v>
      </c>
      <c r="B30" s="55">
        <v>-444.14400000000001</v>
      </c>
      <c r="C30" s="55">
        <v>0</v>
      </c>
    </row>
    <row r="31" spans="1:3" x14ac:dyDescent="0.25">
      <c r="A31" s="55" t="s">
        <v>129</v>
      </c>
      <c r="B31" s="55">
        <v>-7.32</v>
      </c>
      <c r="C31" s="55">
        <v>-20.568000000000001</v>
      </c>
    </row>
    <row r="32" spans="1:3" x14ac:dyDescent="0.25">
      <c r="A32" s="55" t="s">
        <v>119</v>
      </c>
      <c r="B32" s="55">
        <v>-14.544</v>
      </c>
      <c r="C32" s="55">
        <v>-18.059999999999999</v>
      </c>
    </row>
    <row r="33" spans="1:3" x14ac:dyDescent="0.25">
      <c r="A33" s="55" t="s">
        <v>115</v>
      </c>
      <c r="B33" s="55">
        <v>-972.4</v>
      </c>
      <c r="C33" s="55">
        <v>213.5</v>
      </c>
    </row>
    <row r="34" spans="1:3" x14ac:dyDescent="0.25">
      <c r="A34" s="55" t="s">
        <v>121</v>
      </c>
      <c r="B34" s="7">
        <v>-4.944</v>
      </c>
      <c r="C34" s="55">
        <v>-25.367999999999999</v>
      </c>
    </row>
    <row r="35" spans="1:3" x14ac:dyDescent="0.25">
      <c r="A35" s="55" t="s">
        <v>120</v>
      </c>
      <c r="B35" s="55">
        <v>-297.39600000000002</v>
      </c>
      <c r="C35" s="55">
        <v>0</v>
      </c>
    </row>
    <row r="36" spans="1:3" x14ac:dyDescent="0.25">
      <c r="A36" s="55" t="s">
        <v>161</v>
      </c>
      <c r="B36" s="55">
        <v>-42.384</v>
      </c>
      <c r="C36" s="55">
        <v>-201.63</v>
      </c>
    </row>
    <row r="37" spans="1:3" x14ac:dyDescent="0.25">
      <c r="A37" s="55" t="s">
        <v>160</v>
      </c>
      <c r="B37" s="55">
        <v>-165.11</v>
      </c>
      <c r="C37" s="7">
        <v>-4.2960000000000003</v>
      </c>
    </row>
    <row r="38" spans="1:3" x14ac:dyDescent="0.25">
      <c r="A38" s="55" t="s">
        <v>159</v>
      </c>
      <c r="B38" s="55">
        <v>-2.3540000000000001</v>
      </c>
      <c r="C38" s="7">
        <v>-0.25</v>
      </c>
    </row>
    <row r="39" spans="1:3" x14ac:dyDescent="0.25">
      <c r="A39" s="64"/>
      <c r="B39" s="64"/>
      <c r="C39" s="64"/>
    </row>
  </sheetData>
  <pageMargins left="0.7" right="0.7" top="0.75" bottom="0.75" header="0.3" footer="0.3"/>
  <pageSetup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6"/>
  <sheetViews>
    <sheetView workbookViewId="0">
      <selection activeCell="J19" sqref="J19"/>
    </sheetView>
  </sheetViews>
  <sheetFormatPr defaultRowHeight="15" x14ac:dyDescent="0.25"/>
  <cols>
    <col min="1" max="1" width="11.85546875" bestFit="1" customWidth="1"/>
    <col min="2" max="2" width="8.85546875" bestFit="1" customWidth="1"/>
    <col min="3" max="3" width="18.28515625" bestFit="1" customWidth="1"/>
  </cols>
  <sheetData>
    <row r="1" spans="1:3" x14ac:dyDescent="0.25">
      <c r="A1" t="s">
        <v>415</v>
      </c>
      <c r="B1" t="s">
        <v>416</v>
      </c>
      <c r="C1" t="s">
        <v>417</v>
      </c>
    </row>
    <row r="2" spans="1:3" x14ac:dyDescent="0.25">
      <c r="A2" t="s">
        <v>83</v>
      </c>
      <c r="B2">
        <v>1.585</v>
      </c>
      <c r="C2" t="s">
        <v>473</v>
      </c>
    </row>
    <row r="3" spans="1:3" x14ac:dyDescent="0.25">
      <c r="A3" t="s">
        <v>89</v>
      </c>
      <c r="B3">
        <v>1.548</v>
      </c>
      <c r="C3" t="s">
        <v>473</v>
      </c>
    </row>
    <row r="4" spans="1:3" x14ac:dyDescent="0.25">
      <c r="A4" t="s">
        <v>91</v>
      </c>
      <c r="B4">
        <v>2.5059999999999998</v>
      </c>
      <c r="C4" t="s">
        <v>473</v>
      </c>
    </row>
    <row r="5" spans="1:3" x14ac:dyDescent="0.25">
      <c r="A5" t="s">
        <v>93</v>
      </c>
      <c r="B5">
        <v>0.36899999999999999</v>
      </c>
      <c r="C5" t="s">
        <v>473</v>
      </c>
    </row>
    <row r="6" spans="1:3" x14ac:dyDescent="0.25">
      <c r="A6" t="s">
        <v>95</v>
      </c>
      <c r="B6">
        <v>0.51500000000000001</v>
      </c>
      <c r="C6" t="s">
        <v>473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84"/>
  <sheetViews>
    <sheetView zoomScale="85" zoomScaleNormal="85" workbookViewId="0">
      <pane ySplit="1" topLeftCell="A62" activePane="bottomLeft" state="frozen"/>
      <selection pane="bottomLeft" activeCell="T85" sqref="T85"/>
    </sheetView>
  </sheetViews>
  <sheetFormatPr defaultColWidth="11.28515625" defaultRowHeight="15" x14ac:dyDescent="0.25"/>
  <cols>
    <col min="1" max="1" width="12.140625" bestFit="1" customWidth="1"/>
    <col min="2" max="2" width="9.28515625" hidden="1" customWidth="1"/>
    <col min="3" max="3" width="12.85546875" bestFit="1" customWidth="1"/>
    <col min="4" max="4" width="8.85546875" bestFit="1" customWidth="1"/>
    <col min="5" max="5" width="14.5703125" hidden="1" customWidth="1"/>
    <col min="6" max="6" width="14.140625" hidden="1" customWidth="1"/>
    <col min="8" max="9" width="11.28515625" hidden="1" customWidth="1"/>
    <col min="11" max="12" width="11.28515625" hidden="1" customWidth="1"/>
    <col min="13" max="13" width="12.85546875" bestFit="1" customWidth="1"/>
    <col min="14" max="14" width="8.85546875" bestFit="1" customWidth="1"/>
    <col min="15" max="15" width="14.5703125" hidden="1" customWidth="1"/>
    <col min="16" max="16" width="24.5703125" hidden="1" customWidth="1"/>
    <col min="18" max="19" width="11.28515625" hidden="1" customWidth="1"/>
    <col min="21" max="22" width="11.28515625" hidden="1" customWidth="1"/>
    <col min="23" max="23" width="13.42578125" bestFit="1" customWidth="1"/>
    <col min="24" max="24" width="11" bestFit="1" customWidth="1"/>
  </cols>
  <sheetData>
    <row r="1" spans="1:24" s="43" customFormat="1" ht="60" x14ac:dyDescent="0.25">
      <c r="A1" s="48" t="s">
        <v>176</v>
      </c>
      <c r="B1" s="31"/>
      <c r="C1" s="49" t="s">
        <v>171</v>
      </c>
      <c r="D1" s="31"/>
      <c r="E1" s="31" t="s">
        <v>373</v>
      </c>
      <c r="F1" s="31" t="s">
        <v>374</v>
      </c>
      <c r="G1" s="31" t="s">
        <v>377</v>
      </c>
      <c r="H1" s="31" t="s">
        <v>378</v>
      </c>
      <c r="I1" s="31" t="s">
        <v>379</v>
      </c>
      <c r="J1" s="31" t="s">
        <v>380</v>
      </c>
      <c r="K1" s="31" t="s">
        <v>381</v>
      </c>
      <c r="L1" s="31" t="s">
        <v>379</v>
      </c>
      <c r="M1" s="49" t="s">
        <v>172</v>
      </c>
      <c r="N1" s="31"/>
      <c r="O1" s="31" t="s">
        <v>375</v>
      </c>
      <c r="P1" s="31" t="s">
        <v>376</v>
      </c>
      <c r="Q1" s="31" t="s">
        <v>382</v>
      </c>
      <c r="R1" s="31" t="s">
        <v>383</v>
      </c>
      <c r="S1" s="31" t="s">
        <v>384</v>
      </c>
      <c r="T1" s="31" t="s">
        <v>385</v>
      </c>
      <c r="U1" s="31" t="s">
        <v>386</v>
      </c>
      <c r="V1" s="31" t="s">
        <v>384</v>
      </c>
      <c r="W1" s="49" t="s">
        <v>173</v>
      </c>
      <c r="X1" s="31" t="s">
        <v>372</v>
      </c>
    </row>
    <row r="2" spans="1:24" x14ac:dyDescent="0.25">
      <c r="A2" s="42" t="s">
        <v>143</v>
      </c>
      <c r="B2" s="66" t="s">
        <v>143</v>
      </c>
      <c r="C2" s="44">
        <v>-2.2148887698555071</v>
      </c>
      <c r="D2" s="45">
        <v>-2.1890000000000001</v>
      </c>
      <c r="E2" s="45">
        <v>1.1688519174349302E-2</v>
      </c>
      <c r="F2" s="45">
        <v>1.1826756443813171E-2</v>
      </c>
      <c r="G2" s="66">
        <v>-7.17</v>
      </c>
      <c r="H2" s="45">
        <v>0.69470013947001397</v>
      </c>
      <c r="I2" s="45">
        <v>2.2754682503426222</v>
      </c>
      <c r="J2" s="66" t="s">
        <v>182</v>
      </c>
      <c r="K2" s="50" t="s">
        <v>387</v>
      </c>
      <c r="L2" s="50" t="s">
        <v>387</v>
      </c>
      <c r="M2" s="44">
        <v>-0.71516939269018276</v>
      </c>
      <c r="N2" s="45">
        <v>-0.79199999999999993</v>
      </c>
      <c r="O2" s="45">
        <v>0.107429943304496</v>
      </c>
      <c r="P2" s="45">
        <v>9.7008342562900474E-2</v>
      </c>
      <c r="Q2" s="46">
        <v>-4.26</v>
      </c>
      <c r="R2" s="45">
        <v>0.81408450704225355</v>
      </c>
      <c r="S2" s="47">
        <v>4.3787878787878789</v>
      </c>
      <c r="T2" s="66" t="s">
        <v>182</v>
      </c>
      <c r="U2" s="50" t="s">
        <v>387</v>
      </c>
      <c r="V2" s="50" t="s">
        <v>387</v>
      </c>
      <c r="W2" s="44" t="s">
        <v>165</v>
      </c>
      <c r="X2" s="66" t="s">
        <v>182</v>
      </c>
    </row>
    <row r="3" spans="1:24" x14ac:dyDescent="0.25">
      <c r="A3" s="42" t="s">
        <v>149</v>
      </c>
      <c r="B3" s="66" t="s">
        <v>149</v>
      </c>
      <c r="C3" s="44">
        <v>0.38326630414552981</v>
      </c>
      <c r="D3" s="45">
        <v>0.41400000000000003</v>
      </c>
      <c r="E3" s="45">
        <v>8.01888804782597E-2</v>
      </c>
      <c r="F3" s="45">
        <v>7.4235980324807299E-2</v>
      </c>
      <c r="G3" s="46">
        <v>-1.9573</v>
      </c>
      <c r="H3" s="45">
        <v>1.2115158636897767</v>
      </c>
      <c r="I3" s="47">
        <v>5.7277777777777779</v>
      </c>
      <c r="J3" s="66" t="s">
        <v>182</v>
      </c>
      <c r="K3" s="50" t="s">
        <v>387</v>
      </c>
      <c r="L3" s="50" t="s">
        <v>387</v>
      </c>
      <c r="M3" s="44">
        <v>-2.862210517389467</v>
      </c>
      <c r="N3" s="45">
        <v>-2.9369999999999998</v>
      </c>
      <c r="O3" s="45">
        <v>2.612997267536632E-2</v>
      </c>
      <c r="P3" s="45">
        <v>2.5464583796572307E-2</v>
      </c>
      <c r="Q3" s="66">
        <v>-11.4176</v>
      </c>
      <c r="R3" s="45">
        <v>0.74276555493273544</v>
      </c>
      <c r="S3" s="45">
        <v>2.8875042560435822</v>
      </c>
      <c r="T3" s="66" t="s">
        <v>182</v>
      </c>
      <c r="U3" s="50" t="s">
        <v>387</v>
      </c>
      <c r="V3" s="50" t="s">
        <v>387</v>
      </c>
      <c r="W3" s="44" t="s">
        <v>165</v>
      </c>
      <c r="X3" s="66" t="s">
        <v>182</v>
      </c>
    </row>
    <row r="4" spans="1:24" x14ac:dyDescent="0.25">
      <c r="A4" s="42" t="s">
        <v>147</v>
      </c>
      <c r="B4" s="66" t="s">
        <v>147</v>
      </c>
      <c r="C4" s="44">
        <v>-1.0091898483804511</v>
      </c>
      <c r="D4" s="45">
        <v>-0.84699999999999998</v>
      </c>
      <c r="E4" s="45">
        <v>0.1607129210036482</v>
      </c>
      <c r="F4" s="45">
        <v>0.19148742429805329</v>
      </c>
      <c r="G4" s="46">
        <v>0.3</v>
      </c>
      <c r="H4" s="47">
        <v>3.8233333333333333</v>
      </c>
      <c r="I4" s="45">
        <v>1.3541912632821724</v>
      </c>
      <c r="J4" s="66" t="s">
        <v>182</v>
      </c>
      <c r="K4" s="50" t="s">
        <v>387</v>
      </c>
      <c r="L4" s="50" t="s">
        <v>387</v>
      </c>
      <c r="M4" s="44">
        <v>-1.4709288100957256</v>
      </c>
      <c r="N4" s="45">
        <v>-1.694</v>
      </c>
      <c r="O4" s="45">
        <v>0.15165328761883262</v>
      </c>
      <c r="P4" s="45">
        <v>0.1316831109234205</v>
      </c>
      <c r="Q4" s="66">
        <v>-6.57</v>
      </c>
      <c r="R4" s="45">
        <v>0.74216133942161344</v>
      </c>
      <c r="S4" s="45">
        <v>2.8783943329397879</v>
      </c>
      <c r="T4" s="66" t="s">
        <v>182</v>
      </c>
      <c r="U4" s="50" t="s">
        <v>387</v>
      </c>
      <c r="V4" s="50" t="s">
        <v>387</v>
      </c>
      <c r="W4" s="44" t="s">
        <v>165</v>
      </c>
      <c r="X4" s="66" t="s">
        <v>182</v>
      </c>
    </row>
    <row r="5" spans="1:24" x14ac:dyDescent="0.25">
      <c r="A5" s="42" t="s">
        <v>141</v>
      </c>
      <c r="B5" s="66" t="s">
        <v>141</v>
      </c>
      <c r="C5" s="44">
        <v>-2.354540653067315</v>
      </c>
      <c r="D5" s="45">
        <v>-2.1779999999999999</v>
      </c>
      <c r="E5" s="45">
        <v>7.4978808642497383E-2</v>
      </c>
      <c r="F5" s="45">
        <v>8.1056314539630414E-2</v>
      </c>
      <c r="G5" s="66">
        <v>-6.39</v>
      </c>
      <c r="H5" s="45">
        <v>0.6591549295774648</v>
      </c>
      <c r="I5" s="45">
        <v>1.9338842975206612</v>
      </c>
      <c r="J5" s="66" t="s">
        <v>182</v>
      </c>
      <c r="K5" s="50" t="s">
        <v>387</v>
      </c>
      <c r="L5" s="50" t="s">
        <v>387</v>
      </c>
      <c r="M5" s="44">
        <v>-1.0287981575122018</v>
      </c>
      <c r="N5" s="45">
        <v>-1.2429999999999999</v>
      </c>
      <c r="O5" s="45">
        <v>0.20820589629142836</v>
      </c>
      <c r="P5" s="45">
        <v>0.17232650240369918</v>
      </c>
      <c r="Q5" s="46">
        <v>-5.34</v>
      </c>
      <c r="R5" s="45">
        <v>0.76722846441947568</v>
      </c>
      <c r="S5" s="47">
        <v>3.2960579243765089</v>
      </c>
      <c r="T5" s="66" t="s">
        <v>182</v>
      </c>
      <c r="U5" s="50" t="s">
        <v>387</v>
      </c>
      <c r="V5" s="50" t="s">
        <v>387</v>
      </c>
      <c r="W5" s="44" t="s">
        <v>165</v>
      </c>
      <c r="X5" s="66" t="s">
        <v>182</v>
      </c>
    </row>
    <row r="6" spans="1:24" x14ac:dyDescent="0.25">
      <c r="A6" s="42" t="s">
        <v>142</v>
      </c>
      <c r="B6" s="66" t="s">
        <v>142</v>
      </c>
      <c r="C6" s="44">
        <v>-3.0372327490342297</v>
      </c>
      <c r="D6" s="45">
        <v>-2.7829999999999999</v>
      </c>
      <c r="E6" s="45">
        <v>8.370538909639702E-2</v>
      </c>
      <c r="F6" s="45">
        <v>9.1352047802454109E-2</v>
      </c>
      <c r="G6" s="66" t="s">
        <v>182</v>
      </c>
      <c r="H6" s="50" t="s">
        <v>387</v>
      </c>
      <c r="I6" s="50" t="s">
        <v>387</v>
      </c>
      <c r="J6" s="66" t="s">
        <v>182</v>
      </c>
      <c r="K6" s="50" t="s">
        <v>387</v>
      </c>
      <c r="L6" s="50" t="s">
        <v>387</v>
      </c>
      <c r="M6" s="44">
        <v>-1.4472035088424864</v>
      </c>
      <c r="N6" s="45">
        <v>-1.65</v>
      </c>
      <c r="O6" s="45">
        <v>0.1401299056548832</v>
      </c>
      <c r="P6" s="45">
        <v>0.12290696433788699</v>
      </c>
      <c r="Q6" s="66" t="s">
        <v>182</v>
      </c>
      <c r="R6" s="50" t="s">
        <v>387</v>
      </c>
      <c r="S6" s="50" t="s">
        <v>387</v>
      </c>
      <c r="T6" s="66" t="s">
        <v>182</v>
      </c>
      <c r="U6" s="50" t="s">
        <v>387</v>
      </c>
      <c r="V6" s="50" t="s">
        <v>387</v>
      </c>
      <c r="W6" s="44" t="s">
        <v>165</v>
      </c>
      <c r="X6" s="66" t="s">
        <v>182</v>
      </c>
    </row>
    <row r="7" spans="1:24" x14ac:dyDescent="0.25">
      <c r="A7" s="42" t="s">
        <v>153</v>
      </c>
      <c r="B7" s="66" t="s">
        <v>153</v>
      </c>
      <c r="C7" s="44">
        <v>-2.7075257021955128</v>
      </c>
      <c r="D7" s="45">
        <v>-2.6070000000000002</v>
      </c>
      <c r="E7" s="45">
        <v>3.7128254078621317E-2</v>
      </c>
      <c r="F7" s="45">
        <v>3.8559916453974913E-2</v>
      </c>
      <c r="G7" s="46">
        <v>0.3</v>
      </c>
      <c r="H7" s="47">
        <v>9.6900000000000013</v>
      </c>
      <c r="I7" s="45">
        <v>1.1150747986191023</v>
      </c>
      <c r="J7" s="66" t="s">
        <v>182</v>
      </c>
      <c r="K7" s="50" t="s">
        <v>387</v>
      </c>
      <c r="L7" s="50" t="s">
        <v>387</v>
      </c>
      <c r="M7" s="44">
        <v>-1.7050451504176038</v>
      </c>
      <c r="N7" s="45">
        <v>-1.8479999999999999</v>
      </c>
      <c r="O7" s="45">
        <v>8.3842266316163636E-2</v>
      </c>
      <c r="P7" s="45">
        <v>7.7356520336794382E-2</v>
      </c>
      <c r="Q7" s="66">
        <v>-5.4</v>
      </c>
      <c r="R7" s="45">
        <v>0.65777777777777779</v>
      </c>
      <c r="S7" s="45">
        <v>1.9220779220779225</v>
      </c>
      <c r="T7" s="66" t="s">
        <v>182</v>
      </c>
      <c r="U7" s="50" t="s">
        <v>387</v>
      </c>
      <c r="V7" s="50" t="s">
        <v>387</v>
      </c>
      <c r="W7" s="44" t="s">
        <v>165</v>
      </c>
      <c r="X7" s="66" t="s">
        <v>182</v>
      </c>
    </row>
    <row r="8" spans="1:24" x14ac:dyDescent="0.25">
      <c r="A8" s="42" t="s">
        <v>148</v>
      </c>
      <c r="B8" s="66" t="s">
        <v>148</v>
      </c>
      <c r="C8" s="44">
        <v>0.77992494821934966</v>
      </c>
      <c r="D8" s="45">
        <v>0.75600000000000001</v>
      </c>
      <c r="E8" s="45">
        <v>3.0675962185813921E-2</v>
      </c>
      <c r="F8" s="45">
        <v>3.1646756903901653E-2</v>
      </c>
      <c r="G8" s="66">
        <v>-0.65239999999999998</v>
      </c>
      <c r="H8" s="45">
        <v>2.1587982832618025</v>
      </c>
      <c r="I8" s="45">
        <v>1.8629629629629629</v>
      </c>
      <c r="J8" s="66" t="s">
        <v>182</v>
      </c>
      <c r="K8" s="50" t="s">
        <v>387</v>
      </c>
      <c r="L8" s="50" t="s">
        <v>387</v>
      </c>
      <c r="M8" s="44">
        <v>-3.6370540957731774</v>
      </c>
      <c r="N8" s="45">
        <v>-3.6850000000000001</v>
      </c>
      <c r="O8" s="45">
        <v>1.3182620594657433E-2</v>
      </c>
      <c r="P8" s="45">
        <v>1.301110019723817E-2</v>
      </c>
      <c r="Q8" s="66">
        <v>-13.3749</v>
      </c>
      <c r="R8" s="45">
        <v>0.72448392137511308</v>
      </c>
      <c r="S8" s="45">
        <v>2.62955223880597</v>
      </c>
      <c r="T8" s="66" t="s">
        <v>182</v>
      </c>
      <c r="U8" s="50" t="s">
        <v>387</v>
      </c>
      <c r="V8" s="50" t="s">
        <v>387</v>
      </c>
      <c r="W8" s="44" t="s">
        <v>165</v>
      </c>
      <c r="X8" s="66" t="s">
        <v>182</v>
      </c>
    </row>
    <row r="9" spans="1:24" x14ac:dyDescent="0.25">
      <c r="A9" s="42" t="s">
        <v>144</v>
      </c>
      <c r="B9" s="66" t="s">
        <v>144</v>
      </c>
      <c r="C9" s="44">
        <v>-0.36764731508081744</v>
      </c>
      <c r="D9" s="45">
        <v>-0.27500000000000002</v>
      </c>
      <c r="E9" s="45">
        <v>0.25200052137046447</v>
      </c>
      <c r="F9" s="45">
        <v>0.33689932756660879</v>
      </c>
      <c r="G9" s="66">
        <v>0</v>
      </c>
      <c r="H9" s="45">
        <v>0.27500000000000002</v>
      </c>
      <c r="I9" s="45">
        <v>1</v>
      </c>
      <c r="J9" s="66" t="s">
        <v>182</v>
      </c>
      <c r="K9" s="50" t="s">
        <v>387</v>
      </c>
      <c r="L9" s="50" t="s">
        <v>387</v>
      </c>
      <c r="M9" s="44">
        <v>-2.2613912341402709</v>
      </c>
      <c r="N9" s="45">
        <v>-2.4200000000000004</v>
      </c>
      <c r="O9" s="45">
        <v>7.0137693763560077E-2</v>
      </c>
      <c r="P9" s="45">
        <v>6.5540812338731186E-2</v>
      </c>
      <c r="Q9" s="66">
        <v>-8.58</v>
      </c>
      <c r="R9" s="45">
        <v>0.71794871794871795</v>
      </c>
      <c r="S9" s="45">
        <v>2.545454545454545</v>
      </c>
      <c r="T9" s="66" t="s">
        <v>182</v>
      </c>
      <c r="U9" s="50" t="s">
        <v>387</v>
      </c>
      <c r="V9" s="50" t="s">
        <v>387</v>
      </c>
      <c r="W9" s="44" t="s">
        <v>165</v>
      </c>
      <c r="X9" s="66" t="s">
        <v>182</v>
      </c>
    </row>
    <row r="10" spans="1:24" x14ac:dyDescent="0.25">
      <c r="A10" s="42" t="s">
        <v>105</v>
      </c>
      <c r="B10" s="66" t="s">
        <v>105</v>
      </c>
      <c r="C10" s="44">
        <v>6.7755473858338564E-2</v>
      </c>
      <c r="D10" s="45">
        <v>7.1999999999999995E-2</v>
      </c>
      <c r="E10" s="45">
        <v>6.2644770967667934E-2</v>
      </c>
      <c r="F10" s="45">
        <v>5.895175196751988E-2</v>
      </c>
      <c r="G10" s="66" t="s">
        <v>182</v>
      </c>
      <c r="H10" s="50" t="s">
        <v>387</v>
      </c>
      <c r="I10" s="50" t="s">
        <v>387</v>
      </c>
      <c r="J10" s="66" t="s">
        <v>182</v>
      </c>
      <c r="K10" s="50" t="s">
        <v>387</v>
      </c>
      <c r="L10" s="50" t="s">
        <v>387</v>
      </c>
      <c r="M10" s="44">
        <v>-1.7961554203062482</v>
      </c>
      <c r="N10" s="45">
        <v>-1.8039999999999998</v>
      </c>
      <c r="O10" s="45">
        <v>4.3674281217903257E-3</v>
      </c>
      <c r="P10" s="45">
        <v>4.3484366373346068E-3</v>
      </c>
      <c r="Q10" s="66" t="s">
        <v>182</v>
      </c>
      <c r="R10" s="50" t="s">
        <v>387</v>
      </c>
      <c r="S10" s="50" t="s">
        <v>387</v>
      </c>
      <c r="T10" s="66" t="s">
        <v>182</v>
      </c>
      <c r="U10" s="50" t="s">
        <v>387</v>
      </c>
      <c r="V10" s="50" t="s">
        <v>387</v>
      </c>
      <c r="W10" s="44" t="s">
        <v>165</v>
      </c>
      <c r="X10" s="66" t="s">
        <v>182</v>
      </c>
    </row>
    <row r="11" spans="1:24" x14ac:dyDescent="0.25">
      <c r="A11" s="42" t="s">
        <v>140</v>
      </c>
      <c r="B11" s="66" t="s">
        <v>140</v>
      </c>
      <c r="C11" s="44">
        <v>-4.4427642952236726</v>
      </c>
      <c r="D11" s="45">
        <v>-4.2789999999999999</v>
      </c>
      <c r="E11" s="45">
        <v>3.6860901083528644E-2</v>
      </c>
      <c r="F11" s="45">
        <v>3.8271627769028427E-2</v>
      </c>
      <c r="G11" s="66">
        <v>-13.65</v>
      </c>
      <c r="H11" s="45">
        <v>0.68652014652014648</v>
      </c>
      <c r="I11" s="45">
        <v>2.189997663005375</v>
      </c>
      <c r="J11" s="66" t="s">
        <v>182</v>
      </c>
      <c r="K11" s="50" t="s">
        <v>387</v>
      </c>
      <c r="L11" s="50" t="s">
        <v>387</v>
      </c>
      <c r="M11" s="44">
        <v>0.61884413300005081</v>
      </c>
      <c r="N11" s="45">
        <v>0.53099999999999992</v>
      </c>
      <c r="O11" s="45">
        <v>0.14194872071291606</v>
      </c>
      <c r="P11" s="45">
        <v>0.16543151224115049</v>
      </c>
      <c r="Q11" s="66">
        <v>0.33</v>
      </c>
      <c r="R11" s="45">
        <v>0.60909090909090879</v>
      </c>
      <c r="S11" s="45">
        <v>0.37853107344632758</v>
      </c>
      <c r="T11" s="66" t="s">
        <v>182</v>
      </c>
      <c r="U11" s="50" t="s">
        <v>387</v>
      </c>
      <c r="V11" s="50" t="s">
        <v>387</v>
      </c>
      <c r="W11" s="44" t="s">
        <v>165</v>
      </c>
      <c r="X11" s="66" t="s">
        <v>182</v>
      </c>
    </row>
    <row r="12" spans="1:24" x14ac:dyDescent="0.25">
      <c r="A12" s="42" t="s">
        <v>166</v>
      </c>
      <c r="B12" s="66" t="s">
        <v>166</v>
      </c>
      <c r="C12" s="44">
        <v>-9.9909434701510396</v>
      </c>
      <c r="D12" s="45">
        <v>-10.043000000000001</v>
      </c>
      <c r="E12" s="45">
        <v>5.2103717736453675E-3</v>
      </c>
      <c r="F12" s="45">
        <v>5.183364517471022E-3</v>
      </c>
      <c r="G12" s="66" t="s">
        <v>182</v>
      </c>
      <c r="H12" s="50" t="s">
        <v>387</v>
      </c>
      <c r="I12" s="50" t="s">
        <v>387</v>
      </c>
      <c r="J12" s="66" t="s">
        <v>182</v>
      </c>
      <c r="K12" s="50" t="s">
        <v>387</v>
      </c>
      <c r="L12" s="50" t="s">
        <v>387</v>
      </c>
      <c r="M12" s="44">
        <v>-2.7803115638706029</v>
      </c>
      <c r="N12" s="45">
        <v>-2.794</v>
      </c>
      <c r="O12" s="45">
        <v>4.9233461124554212E-3</v>
      </c>
      <c r="P12" s="45">
        <v>4.8992255294907604E-3</v>
      </c>
      <c r="Q12" s="66" t="s">
        <v>182</v>
      </c>
      <c r="R12" s="50" t="s">
        <v>387</v>
      </c>
      <c r="S12" s="50" t="s">
        <v>387</v>
      </c>
      <c r="T12" s="66" t="s">
        <v>182</v>
      </c>
      <c r="U12" s="50" t="s">
        <v>387</v>
      </c>
      <c r="V12" s="50" t="s">
        <v>387</v>
      </c>
      <c r="W12" s="44" t="s">
        <v>165</v>
      </c>
      <c r="X12" s="66" t="s">
        <v>182</v>
      </c>
    </row>
    <row r="13" spans="1:24" x14ac:dyDescent="0.25">
      <c r="A13" s="42" t="s">
        <v>145</v>
      </c>
      <c r="B13" s="66" t="s">
        <v>145</v>
      </c>
      <c r="C13" s="44">
        <v>-5.2276604242242453</v>
      </c>
      <c r="D13" s="45">
        <v>-5.258</v>
      </c>
      <c r="E13" s="45">
        <v>5.8036623104219635E-3</v>
      </c>
      <c r="F13" s="45">
        <v>5.7701741680781186E-3</v>
      </c>
      <c r="G13" s="66">
        <v>-12.63</v>
      </c>
      <c r="H13" s="45">
        <v>0.58368962787015044</v>
      </c>
      <c r="I13" s="45">
        <v>1.4020540129326742</v>
      </c>
      <c r="J13" s="66" t="s">
        <v>182</v>
      </c>
      <c r="K13" s="50" t="s">
        <v>387</v>
      </c>
      <c r="L13" s="50" t="s">
        <v>387</v>
      </c>
      <c r="M13" s="44">
        <v>0.22868237926321169</v>
      </c>
      <c r="N13" s="45">
        <v>0.26999999999999996</v>
      </c>
      <c r="O13" s="45">
        <v>0.18067688848571931</v>
      </c>
      <c r="P13" s="45">
        <v>0.15302822495106769</v>
      </c>
      <c r="Q13" s="46">
        <v>-2.0699999999999998</v>
      </c>
      <c r="R13" s="45">
        <v>1.1304347826086956</v>
      </c>
      <c r="S13" s="47">
        <v>8.6666666666666679</v>
      </c>
      <c r="T13" s="66" t="s">
        <v>182</v>
      </c>
      <c r="U13" s="50" t="s">
        <v>387</v>
      </c>
      <c r="V13" s="50" t="s">
        <v>387</v>
      </c>
      <c r="W13" s="44" t="s">
        <v>165</v>
      </c>
      <c r="X13" s="66" t="s">
        <v>182</v>
      </c>
    </row>
    <row r="14" spans="1:24" x14ac:dyDescent="0.25">
      <c r="A14" s="42" t="s">
        <v>150</v>
      </c>
      <c r="B14" s="66" t="s">
        <v>150</v>
      </c>
      <c r="C14" s="44">
        <v>-6.0730969749392436</v>
      </c>
      <c r="D14" s="45">
        <v>-6.05</v>
      </c>
      <c r="E14" s="45">
        <v>3.8031625436830527E-3</v>
      </c>
      <c r="F14" s="45">
        <v>3.8176818081394688E-3</v>
      </c>
      <c r="G14" s="66">
        <v>-15.69</v>
      </c>
      <c r="H14" s="45">
        <v>0.61440407903123007</v>
      </c>
      <c r="I14" s="45">
        <v>1.5933884297520662</v>
      </c>
      <c r="J14" s="66" t="s">
        <v>182</v>
      </c>
      <c r="K14" s="50" t="s">
        <v>387</v>
      </c>
      <c r="L14" s="50" t="s">
        <v>387</v>
      </c>
      <c r="M14" s="44">
        <v>0.94449354763680649</v>
      </c>
      <c r="N14" s="45">
        <v>0.93600000000000005</v>
      </c>
      <c r="O14" s="45">
        <v>8.9927005410020237E-3</v>
      </c>
      <c r="P14" s="45">
        <v>9.074303030776101E-3</v>
      </c>
      <c r="Q14" s="66">
        <v>0</v>
      </c>
      <c r="R14" s="45">
        <v>0.93600000000000005</v>
      </c>
      <c r="S14" s="45">
        <v>1</v>
      </c>
      <c r="T14" s="66" t="s">
        <v>182</v>
      </c>
      <c r="U14" s="50" t="s">
        <v>387</v>
      </c>
      <c r="V14" s="50" t="s">
        <v>387</v>
      </c>
      <c r="W14" s="44" t="s">
        <v>165</v>
      </c>
      <c r="X14" s="66" t="s">
        <v>182</v>
      </c>
    </row>
    <row r="15" spans="1:24" x14ac:dyDescent="0.25">
      <c r="A15" s="42" t="s">
        <v>146</v>
      </c>
      <c r="B15" s="66" t="s">
        <v>146</v>
      </c>
      <c r="C15" s="44">
        <v>-0.87428165568901439</v>
      </c>
      <c r="D15" s="45">
        <v>-0.82499999999999996</v>
      </c>
      <c r="E15" s="45">
        <v>5.636816850534964E-2</v>
      </c>
      <c r="F15" s="45">
        <v>5.9735340229108411E-2</v>
      </c>
      <c r="G15" s="46">
        <v>0.3</v>
      </c>
      <c r="H15" s="47">
        <v>3.75</v>
      </c>
      <c r="I15" s="45">
        <v>1.3636363636363635</v>
      </c>
      <c r="J15" s="66" t="s">
        <v>182</v>
      </c>
      <c r="K15" s="50" t="s">
        <v>387</v>
      </c>
      <c r="L15" s="50" t="s">
        <v>387</v>
      </c>
      <c r="M15" s="44">
        <v>-2.5774574904602217</v>
      </c>
      <c r="N15" s="45">
        <v>-2.6070000000000002</v>
      </c>
      <c r="O15" s="45">
        <v>1.1461880418638271E-2</v>
      </c>
      <c r="P15" s="45">
        <v>1.1331994453309761E-2</v>
      </c>
      <c r="Q15" s="46">
        <v>-10.77</v>
      </c>
      <c r="R15" s="45">
        <v>0.75793871866295259</v>
      </c>
      <c r="S15" s="47">
        <v>3.1311852704257763</v>
      </c>
      <c r="T15" s="66" t="s">
        <v>182</v>
      </c>
      <c r="U15" s="50" t="s">
        <v>387</v>
      </c>
      <c r="V15" s="50" t="s">
        <v>387</v>
      </c>
      <c r="W15" s="44" t="s">
        <v>165</v>
      </c>
      <c r="X15" s="66" t="s">
        <v>182</v>
      </c>
    </row>
    <row r="16" spans="1:24" x14ac:dyDescent="0.25">
      <c r="A16" s="42" t="s">
        <v>122</v>
      </c>
      <c r="B16" s="66" t="s">
        <v>122</v>
      </c>
      <c r="C16" s="44">
        <v>-4.0475255004861967</v>
      </c>
      <c r="D16" s="45">
        <v>-3.9710000000000001</v>
      </c>
      <c r="E16" s="45">
        <v>1.8906737085907E-2</v>
      </c>
      <c r="F16" s="45">
        <v>1.9271090527876268E-2</v>
      </c>
      <c r="G16" s="66">
        <v>-15.27</v>
      </c>
      <c r="H16" s="45">
        <v>0.73994760969220696</v>
      </c>
      <c r="I16" s="45">
        <v>2.8453789977335684</v>
      </c>
      <c r="J16" s="66" t="s">
        <v>182</v>
      </c>
      <c r="K16" s="50" t="s">
        <v>387</v>
      </c>
      <c r="L16" s="50" t="s">
        <v>387</v>
      </c>
      <c r="M16" s="44">
        <v>-0.36219964870172605</v>
      </c>
      <c r="N16" s="45">
        <v>-0.42899999999999999</v>
      </c>
      <c r="O16" s="45">
        <v>0.18442964132547932</v>
      </c>
      <c r="P16" s="45">
        <v>0.15571177458805116</v>
      </c>
      <c r="Q16" s="66">
        <v>0.33</v>
      </c>
      <c r="R16" s="45">
        <v>2.2999999999999998</v>
      </c>
      <c r="S16" s="45">
        <v>1.7692307692307694</v>
      </c>
      <c r="T16" s="66" t="s">
        <v>182</v>
      </c>
      <c r="U16" s="50" t="s">
        <v>387</v>
      </c>
      <c r="V16" s="50" t="s">
        <v>387</v>
      </c>
      <c r="W16" s="44" t="s">
        <v>165</v>
      </c>
      <c r="X16" s="66" t="s">
        <v>182</v>
      </c>
    </row>
    <row r="17" spans="1:24" x14ac:dyDescent="0.25">
      <c r="A17" s="42" t="s">
        <v>126</v>
      </c>
      <c r="B17" s="66" t="s">
        <v>126</v>
      </c>
      <c r="C17" s="44">
        <v>-3.9206819851153085</v>
      </c>
      <c r="D17" s="45">
        <v>-3.63</v>
      </c>
      <c r="E17" s="45">
        <v>7.4140668949654584E-2</v>
      </c>
      <c r="F17" s="45">
        <v>8.0077681849947277E-2</v>
      </c>
      <c r="G17" s="66">
        <v>-12.33</v>
      </c>
      <c r="H17" s="45">
        <v>0.7055961070559611</v>
      </c>
      <c r="I17" s="45">
        <v>2.3966942148760331</v>
      </c>
      <c r="J17" s="66" t="s">
        <v>182</v>
      </c>
      <c r="K17" s="50" t="s">
        <v>387</v>
      </c>
      <c r="L17" s="50" t="s">
        <v>387</v>
      </c>
      <c r="M17" s="44">
        <v>-1.6053098844321382E-2</v>
      </c>
      <c r="N17" s="46">
        <v>-0.19799999999999998</v>
      </c>
      <c r="O17" s="47">
        <v>11.33406720535085</v>
      </c>
      <c r="P17" s="45">
        <v>0.91892374321049808</v>
      </c>
      <c r="Q17" s="66">
        <v>0.27</v>
      </c>
      <c r="R17" s="45">
        <v>1.7333333333333332</v>
      </c>
      <c r="S17" s="45">
        <v>2.3636363636363638</v>
      </c>
      <c r="T17" s="66" t="s">
        <v>182</v>
      </c>
      <c r="U17" s="50" t="s">
        <v>387</v>
      </c>
      <c r="V17" s="50" t="s">
        <v>387</v>
      </c>
      <c r="W17" s="44" t="s">
        <v>165</v>
      </c>
      <c r="X17" s="66" t="s">
        <v>182</v>
      </c>
    </row>
    <row r="18" spans="1:24" x14ac:dyDescent="0.25">
      <c r="A18" s="42" t="s">
        <v>128</v>
      </c>
      <c r="B18" s="66" t="s">
        <v>128</v>
      </c>
      <c r="C18" s="44">
        <v>-6.6999565725923382</v>
      </c>
      <c r="D18" s="45">
        <v>-6.5119999999999996</v>
      </c>
      <c r="E18" s="45">
        <v>2.8053401623708549E-2</v>
      </c>
      <c r="F18" s="45">
        <v>2.8863110041821051E-2</v>
      </c>
      <c r="G18" s="66">
        <v>-13.8384</v>
      </c>
      <c r="H18" s="45">
        <v>0.52942536709446186</v>
      </c>
      <c r="I18" s="45">
        <v>1.1250614250614253</v>
      </c>
      <c r="J18" s="66" t="s">
        <v>182</v>
      </c>
      <c r="K18" s="50" t="s">
        <v>387</v>
      </c>
      <c r="L18" s="50" t="s">
        <v>387</v>
      </c>
      <c r="M18" s="44">
        <v>0.83760289010018729</v>
      </c>
      <c r="N18" s="45">
        <v>0.63900000000000001</v>
      </c>
      <c r="O18" s="45">
        <v>0.23710864951341321</v>
      </c>
      <c r="P18" s="45">
        <v>0.3108026449142211</v>
      </c>
      <c r="Q18" s="46">
        <v>-1.4677</v>
      </c>
      <c r="R18" s="45">
        <v>1.4353750766505418</v>
      </c>
      <c r="S18" s="47">
        <v>3.2968701095461657</v>
      </c>
      <c r="T18" s="66" t="s">
        <v>182</v>
      </c>
      <c r="U18" s="50" t="s">
        <v>387</v>
      </c>
      <c r="V18" s="50" t="s">
        <v>387</v>
      </c>
      <c r="W18" s="44" t="s">
        <v>165</v>
      </c>
      <c r="X18" s="66" t="s">
        <v>182</v>
      </c>
    </row>
    <row r="19" spans="1:24" x14ac:dyDescent="0.25">
      <c r="A19" s="42" t="s">
        <v>130</v>
      </c>
      <c r="B19" s="66" t="s">
        <v>130</v>
      </c>
      <c r="C19" s="44">
        <v>-7.6018648539599365</v>
      </c>
      <c r="D19" s="45">
        <v>-7.4140000000000006</v>
      </c>
      <c r="E19" s="45">
        <v>2.4712995767357533E-2</v>
      </c>
      <c r="F19" s="45">
        <v>2.5339203393571066E-2</v>
      </c>
      <c r="G19" s="66" t="s">
        <v>182</v>
      </c>
      <c r="H19" s="50" t="s">
        <v>387</v>
      </c>
      <c r="I19" s="50" t="s">
        <v>387</v>
      </c>
      <c r="J19" s="66" t="s">
        <v>182</v>
      </c>
      <c r="K19" s="50" t="s">
        <v>387</v>
      </c>
      <c r="L19" s="50" t="s">
        <v>387</v>
      </c>
      <c r="M19" s="44">
        <v>0.20407446130995305</v>
      </c>
      <c r="N19" s="45">
        <v>0.16200000000000001</v>
      </c>
      <c r="O19" s="45">
        <v>0.20617210522020868</v>
      </c>
      <c r="P19" s="45">
        <v>0.25971889697501876</v>
      </c>
      <c r="Q19" s="66" t="s">
        <v>182</v>
      </c>
      <c r="R19" s="50" t="s">
        <v>387</v>
      </c>
      <c r="S19" s="50" t="s">
        <v>387</v>
      </c>
      <c r="T19" s="66" t="s">
        <v>182</v>
      </c>
      <c r="U19" s="50" t="s">
        <v>387</v>
      </c>
      <c r="V19" s="50" t="s">
        <v>387</v>
      </c>
      <c r="W19" s="44" t="s">
        <v>165</v>
      </c>
      <c r="X19" s="66" t="s">
        <v>182</v>
      </c>
    </row>
    <row r="20" spans="1:24" x14ac:dyDescent="0.25">
      <c r="A20" s="42" t="s">
        <v>127</v>
      </c>
      <c r="B20" s="66" t="s">
        <v>127</v>
      </c>
      <c r="C20" s="44">
        <v>-5.5106266007006797</v>
      </c>
      <c r="D20" s="45">
        <v>-5.3879999999999999</v>
      </c>
      <c r="E20" s="45">
        <v>2.2252750836917114E-2</v>
      </c>
      <c r="F20" s="45">
        <v>2.2759205772212281E-2</v>
      </c>
      <c r="G20" s="66" t="s">
        <v>182</v>
      </c>
      <c r="H20" s="50" t="s">
        <v>387</v>
      </c>
      <c r="I20" s="50" t="s">
        <v>387</v>
      </c>
      <c r="J20" s="66" t="s">
        <v>182</v>
      </c>
      <c r="K20" s="50" t="s">
        <v>387</v>
      </c>
      <c r="L20" s="50" t="s">
        <v>387</v>
      </c>
      <c r="M20" s="44">
        <v>0.56950462728327644</v>
      </c>
      <c r="N20" s="45">
        <v>0.504</v>
      </c>
      <c r="O20" s="45">
        <v>0.11502036005529044</v>
      </c>
      <c r="P20" s="45">
        <v>0.12996949857792944</v>
      </c>
      <c r="Q20" s="66" t="s">
        <v>182</v>
      </c>
      <c r="R20" s="50" t="s">
        <v>387</v>
      </c>
      <c r="S20" s="50" t="s">
        <v>387</v>
      </c>
      <c r="T20" s="66" t="s">
        <v>182</v>
      </c>
      <c r="U20" s="50" t="s">
        <v>387</v>
      </c>
      <c r="V20" s="50" t="s">
        <v>387</v>
      </c>
      <c r="W20" s="44" t="s">
        <v>419</v>
      </c>
      <c r="X20" s="66" t="s">
        <v>182</v>
      </c>
    </row>
    <row r="21" spans="1:24" x14ac:dyDescent="0.25">
      <c r="A21" s="42" t="s">
        <v>134</v>
      </c>
      <c r="B21" s="66" t="s">
        <v>134</v>
      </c>
      <c r="C21" s="44">
        <v>-3.6543336293727653</v>
      </c>
      <c r="D21" s="45">
        <v>-3.883</v>
      </c>
      <c r="E21" s="45">
        <v>6.2574026845623104E-2</v>
      </c>
      <c r="F21" s="45">
        <v>5.8889098796609508E-2</v>
      </c>
      <c r="G21" s="66" t="s">
        <v>182</v>
      </c>
      <c r="H21" s="50" t="s">
        <v>387</v>
      </c>
      <c r="I21" s="50" t="s">
        <v>387</v>
      </c>
      <c r="J21" s="66" t="s">
        <v>182</v>
      </c>
      <c r="K21" s="50" t="s">
        <v>387</v>
      </c>
      <c r="L21" s="50" t="s">
        <v>387</v>
      </c>
      <c r="M21" s="44">
        <v>-5.102148556128359</v>
      </c>
      <c r="N21" s="45">
        <v>-4.95</v>
      </c>
      <c r="O21" s="45">
        <v>2.9820487281893862E-2</v>
      </c>
      <c r="P21" s="45">
        <v>3.0737082046133103E-2</v>
      </c>
      <c r="Q21" s="66" t="s">
        <v>182</v>
      </c>
      <c r="R21" s="50" t="s">
        <v>387</v>
      </c>
      <c r="S21" s="50" t="s">
        <v>387</v>
      </c>
      <c r="T21" s="66" t="s">
        <v>182</v>
      </c>
      <c r="U21" s="50" t="s">
        <v>387</v>
      </c>
      <c r="V21" s="50" t="s">
        <v>387</v>
      </c>
      <c r="W21" s="44" t="s">
        <v>165</v>
      </c>
      <c r="X21" s="66" t="s">
        <v>182</v>
      </c>
    </row>
    <row r="22" spans="1:24" x14ac:dyDescent="0.25">
      <c r="A22" s="42" t="s">
        <v>135</v>
      </c>
      <c r="B22" s="66" t="s">
        <v>135</v>
      </c>
      <c r="C22" s="44">
        <v>-4.8220927815973704</v>
      </c>
      <c r="D22" s="45">
        <v>-4.8620000000000001</v>
      </c>
      <c r="E22" s="45">
        <v>8.2759125985564248E-3</v>
      </c>
      <c r="F22" s="45">
        <v>8.207984040030784E-3</v>
      </c>
      <c r="G22" s="66" t="s">
        <v>182</v>
      </c>
      <c r="H22" s="50" t="s">
        <v>387</v>
      </c>
      <c r="I22" s="50" t="s">
        <v>387</v>
      </c>
      <c r="J22" s="66" t="s">
        <v>182</v>
      </c>
      <c r="K22" s="50" t="s">
        <v>387</v>
      </c>
      <c r="L22" s="50" t="s">
        <v>387</v>
      </c>
      <c r="M22" s="44">
        <v>-3.4089942400177429</v>
      </c>
      <c r="N22" s="45">
        <v>-3.3439999999999999</v>
      </c>
      <c r="O22" s="45">
        <v>1.9065517698676055E-2</v>
      </c>
      <c r="P22" s="45">
        <v>1.9436076560329849E-2</v>
      </c>
      <c r="Q22" s="66" t="s">
        <v>182</v>
      </c>
      <c r="R22" s="50" t="s">
        <v>387</v>
      </c>
      <c r="S22" s="50" t="s">
        <v>387</v>
      </c>
      <c r="T22" s="66" t="s">
        <v>182</v>
      </c>
      <c r="U22" s="50" t="s">
        <v>387</v>
      </c>
      <c r="V22" s="50" t="s">
        <v>387</v>
      </c>
      <c r="W22" s="44" t="s">
        <v>165</v>
      </c>
      <c r="X22" s="66" t="s">
        <v>182</v>
      </c>
    </row>
    <row r="23" spans="1:24" x14ac:dyDescent="0.25">
      <c r="A23" s="42" t="s">
        <v>136</v>
      </c>
      <c r="B23" s="66" t="s">
        <v>136</v>
      </c>
      <c r="C23" s="44">
        <v>0.35004167559110777</v>
      </c>
      <c r="D23" s="45">
        <v>0.33300000000000002</v>
      </c>
      <c r="E23" s="45">
        <v>4.8684704649324527E-2</v>
      </c>
      <c r="F23" s="45">
        <v>5.1176202976299552E-2</v>
      </c>
      <c r="G23" s="66" t="s">
        <v>182</v>
      </c>
      <c r="H23" s="50" t="s">
        <v>387</v>
      </c>
      <c r="I23" s="50" t="s">
        <v>387</v>
      </c>
      <c r="J23" s="66" t="s">
        <v>182</v>
      </c>
      <c r="K23" s="50" t="s">
        <v>387</v>
      </c>
      <c r="L23" s="50" t="s">
        <v>387</v>
      </c>
      <c r="M23" s="44">
        <v>-6.875786551121001</v>
      </c>
      <c r="N23" s="45">
        <v>-6.8310000000000004</v>
      </c>
      <c r="O23" s="45">
        <v>6.513662224389264E-3</v>
      </c>
      <c r="P23" s="45">
        <v>6.556368192212063E-3</v>
      </c>
      <c r="Q23" s="66" t="s">
        <v>182</v>
      </c>
      <c r="R23" s="50" t="s">
        <v>387</v>
      </c>
      <c r="S23" s="50" t="s">
        <v>387</v>
      </c>
      <c r="T23" s="66" t="s">
        <v>182</v>
      </c>
      <c r="U23" s="50" t="s">
        <v>387</v>
      </c>
      <c r="V23" s="50" t="s">
        <v>387</v>
      </c>
      <c r="W23" s="44" t="s">
        <v>165</v>
      </c>
      <c r="X23" s="66" t="s">
        <v>182</v>
      </c>
    </row>
    <row r="24" spans="1:24" x14ac:dyDescent="0.25">
      <c r="A24" s="42" t="s">
        <v>139</v>
      </c>
      <c r="B24" s="66" t="s">
        <v>139</v>
      </c>
      <c r="C24" s="44">
        <v>-2.4878393280418121</v>
      </c>
      <c r="D24" s="45">
        <v>-2.31</v>
      </c>
      <c r="E24" s="45">
        <v>7.1483445911191559E-2</v>
      </c>
      <c r="F24" s="45">
        <v>7.6986722096022517E-2</v>
      </c>
      <c r="G24" s="66" t="s">
        <v>182</v>
      </c>
      <c r="H24" s="50" t="s">
        <v>387</v>
      </c>
      <c r="I24" s="50" t="s">
        <v>387</v>
      </c>
      <c r="J24" s="66" t="s">
        <v>182</v>
      </c>
      <c r="K24" s="50" t="s">
        <v>387</v>
      </c>
      <c r="L24" s="50" t="s">
        <v>387</v>
      </c>
      <c r="M24" s="44">
        <v>-4.5119836673990896</v>
      </c>
      <c r="N24" s="45">
        <v>-4.7080000000000002</v>
      </c>
      <c r="O24" s="45">
        <v>4.344349338345526E-2</v>
      </c>
      <c r="P24" s="45">
        <v>4.1634735046922375E-2</v>
      </c>
      <c r="Q24" s="66" t="s">
        <v>182</v>
      </c>
      <c r="R24" s="50" t="s">
        <v>387</v>
      </c>
      <c r="S24" s="50" t="s">
        <v>387</v>
      </c>
      <c r="T24" s="66" t="s">
        <v>182</v>
      </c>
      <c r="U24" s="50" t="s">
        <v>387</v>
      </c>
      <c r="V24" s="50" t="s">
        <v>387</v>
      </c>
      <c r="W24" s="44" t="s">
        <v>165</v>
      </c>
      <c r="X24" s="66" t="s">
        <v>182</v>
      </c>
    </row>
    <row r="25" spans="1:24" x14ac:dyDescent="0.25">
      <c r="A25" s="42" t="s">
        <v>138</v>
      </c>
      <c r="B25" s="66" t="s">
        <v>138</v>
      </c>
      <c r="C25" s="44">
        <v>-5.705134964205449</v>
      </c>
      <c r="D25" s="45">
        <v>-5.6040000000000001</v>
      </c>
      <c r="E25" s="45">
        <v>1.7727006431921263E-2</v>
      </c>
      <c r="F25" s="45">
        <v>1.804692437641843E-2</v>
      </c>
      <c r="G25" s="66" t="s">
        <v>182</v>
      </c>
      <c r="H25" s="50" t="s">
        <v>387</v>
      </c>
      <c r="I25" s="50" t="s">
        <v>387</v>
      </c>
      <c r="J25" s="66" t="s">
        <v>182</v>
      </c>
      <c r="K25" s="50" t="s">
        <v>387</v>
      </c>
      <c r="L25" s="50" t="s">
        <v>387</v>
      </c>
      <c r="M25" s="44">
        <v>-4.8373355912997065</v>
      </c>
      <c r="N25" s="45">
        <v>-5.0640000000000001</v>
      </c>
      <c r="O25" s="45">
        <v>4.6857284226458407E-2</v>
      </c>
      <c r="P25" s="45">
        <v>4.4759954324702526E-2</v>
      </c>
      <c r="Q25" s="66" t="s">
        <v>182</v>
      </c>
      <c r="R25" s="50" t="s">
        <v>387</v>
      </c>
      <c r="S25" s="50" t="s">
        <v>387</v>
      </c>
      <c r="T25" s="66" t="s">
        <v>182</v>
      </c>
      <c r="U25" s="50" t="s">
        <v>387</v>
      </c>
      <c r="V25" s="50" t="s">
        <v>387</v>
      </c>
      <c r="W25" s="44" t="s">
        <v>419</v>
      </c>
      <c r="X25" s="66" t="s">
        <v>182</v>
      </c>
    </row>
    <row r="26" spans="1:24" x14ac:dyDescent="0.25">
      <c r="A26" s="42" t="s">
        <v>137</v>
      </c>
      <c r="B26" s="66" t="s">
        <v>137</v>
      </c>
      <c r="C26" s="44">
        <v>-4.719592592439791</v>
      </c>
      <c r="D26" s="45">
        <v>-4.2789999999999999</v>
      </c>
      <c r="E26" s="45">
        <v>9.335394608966173E-2</v>
      </c>
      <c r="F26" s="45">
        <v>0.10296625203079951</v>
      </c>
      <c r="G26" s="66" t="s">
        <v>182</v>
      </c>
      <c r="H26" s="50" t="s">
        <v>387</v>
      </c>
      <c r="I26" s="50" t="s">
        <v>387</v>
      </c>
      <c r="J26" s="66" t="s">
        <v>182</v>
      </c>
      <c r="K26" s="50" t="s">
        <v>387</v>
      </c>
      <c r="L26" s="50" t="s">
        <v>387</v>
      </c>
      <c r="M26" s="44">
        <v>-3.2447962467176379</v>
      </c>
      <c r="N26" s="45">
        <v>-3.355</v>
      </c>
      <c r="O26" s="45">
        <v>3.3963227550525464E-2</v>
      </c>
      <c r="P26" s="45">
        <v>3.2847616477604202E-2</v>
      </c>
      <c r="Q26" s="66" t="s">
        <v>182</v>
      </c>
      <c r="R26" s="50" t="s">
        <v>387</v>
      </c>
      <c r="S26" s="50" t="s">
        <v>387</v>
      </c>
      <c r="T26" s="66" t="s">
        <v>182</v>
      </c>
      <c r="U26" s="50" t="s">
        <v>387</v>
      </c>
      <c r="V26" s="50" t="s">
        <v>387</v>
      </c>
      <c r="W26" s="44" t="s">
        <v>165</v>
      </c>
      <c r="X26" s="66" t="s">
        <v>182</v>
      </c>
    </row>
    <row r="27" spans="1:24" x14ac:dyDescent="0.25">
      <c r="A27" s="42" t="s">
        <v>133</v>
      </c>
      <c r="B27" s="66" t="s">
        <v>133</v>
      </c>
      <c r="C27" s="44">
        <v>-3.8528626618874067</v>
      </c>
      <c r="D27" s="45">
        <v>-3.8279999999999998</v>
      </c>
      <c r="E27" s="45">
        <v>6.4530361108764049E-3</v>
      </c>
      <c r="F27" s="45">
        <v>6.4949482464490135E-3</v>
      </c>
      <c r="G27" s="66" t="s">
        <v>182</v>
      </c>
      <c r="H27" s="50" t="s">
        <v>387</v>
      </c>
      <c r="I27" s="50" t="s">
        <v>387</v>
      </c>
      <c r="J27" s="66" t="s">
        <v>182</v>
      </c>
      <c r="K27" s="50" t="s">
        <v>387</v>
      </c>
      <c r="L27" s="50" t="s">
        <v>387</v>
      </c>
      <c r="M27" s="44">
        <v>-3.0195637478713504</v>
      </c>
      <c r="N27" s="45">
        <v>-3.1019999999999999</v>
      </c>
      <c r="O27" s="45">
        <v>2.7300715935129082E-2</v>
      </c>
      <c r="P27" s="45">
        <v>2.6575194109816076E-2</v>
      </c>
      <c r="Q27" s="66" t="s">
        <v>182</v>
      </c>
      <c r="R27" s="50" t="s">
        <v>387</v>
      </c>
      <c r="S27" s="50" t="s">
        <v>387</v>
      </c>
      <c r="T27" s="66" t="s">
        <v>182</v>
      </c>
      <c r="U27" s="50" t="s">
        <v>387</v>
      </c>
      <c r="V27" s="50" t="s">
        <v>387</v>
      </c>
      <c r="W27" s="44" t="s">
        <v>165</v>
      </c>
      <c r="X27" s="66" t="s">
        <v>182</v>
      </c>
    </row>
    <row r="28" spans="1:24" x14ac:dyDescent="0.25">
      <c r="A28" s="42" t="s">
        <v>154</v>
      </c>
      <c r="B28" s="66" t="s">
        <v>154</v>
      </c>
      <c r="C28" s="44">
        <v>-1.5811988053348938</v>
      </c>
      <c r="D28" s="45">
        <v>-1.595</v>
      </c>
      <c r="E28" s="45">
        <v>8.7283108351344542E-3</v>
      </c>
      <c r="F28" s="45">
        <v>8.6527866238910404E-3</v>
      </c>
      <c r="G28" s="66" t="s">
        <v>182</v>
      </c>
      <c r="H28" s="50" t="s">
        <v>387</v>
      </c>
      <c r="I28" s="50" t="s">
        <v>387</v>
      </c>
      <c r="J28" s="66" t="s">
        <v>182</v>
      </c>
      <c r="K28" s="50" t="s">
        <v>387</v>
      </c>
      <c r="L28" s="50" t="s">
        <v>387</v>
      </c>
      <c r="M28" s="44">
        <v>-1.1667645656544274</v>
      </c>
      <c r="N28" s="45">
        <v>-1.089</v>
      </c>
      <c r="O28" s="45">
        <v>6.6649749181241238E-2</v>
      </c>
      <c r="P28" s="45">
        <v>7.1409151197821361E-2</v>
      </c>
      <c r="Q28" s="66" t="s">
        <v>182</v>
      </c>
      <c r="R28" s="50" t="s">
        <v>387</v>
      </c>
      <c r="S28" s="50" t="s">
        <v>387</v>
      </c>
      <c r="T28" s="66" t="s">
        <v>182</v>
      </c>
      <c r="U28" s="50" t="s">
        <v>387</v>
      </c>
      <c r="V28" s="50" t="s">
        <v>387</v>
      </c>
      <c r="W28" s="44" t="s">
        <v>165</v>
      </c>
      <c r="X28" s="66" t="s">
        <v>182</v>
      </c>
    </row>
    <row r="29" spans="1:24" x14ac:dyDescent="0.25">
      <c r="A29" s="42" t="s">
        <v>155</v>
      </c>
      <c r="B29" s="66" t="s">
        <v>155</v>
      </c>
      <c r="C29" s="44">
        <v>0.59426212335375539</v>
      </c>
      <c r="D29" s="45">
        <v>0.54899999999999993</v>
      </c>
      <c r="E29" s="45">
        <v>7.6165250274265905E-2</v>
      </c>
      <c r="F29" s="45">
        <v>8.2444669132523615E-2</v>
      </c>
      <c r="G29" s="66" t="s">
        <v>182</v>
      </c>
      <c r="H29" s="50" t="s">
        <v>387</v>
      </c>
      <c r="I29" s="50" t="s">
        <v>387</v>
      </c>
      <c r="J29" s="66" t="s">
        <v>182</v>
      </c>
      <c r="K29" s="50" t="s">
        <v>387</v>
      </c>
      <c r="L29" s="50" t="s">
        <v>387</v>
      </c>
      <c r="M29" s="44">
        <v>-3.0709721584889049</v>
      </c>
      <c r="N29" s="45">
        <v>-3.0140000000000002</v>
      </c>
      <c r="O29" s="45">
        <v>1.8551831650905709E-2</v>
      </c>
      <c r="P29" s="45">
        <v>1.890250779326632E-2</v>
      </c>
      <c r="Q29" s="66" t="s">
        <v>182</v>
      </c>
      <c r="R29" s="50" t="s">
        <v>387</v>
      </c>
      <c r="S29" s="50" t="s">
        <v>387</v>
      </c>
      <c r="T29" s="66" t="s">
        <v>182</v>
      </c>
      <c r="U29" s="50" t="s">
        <v>387</v>
      </c>
      <c r="V29" s="50" t="s">
        <v>387</v>
      </c>
      <c r="W29" s="44" t="s">
        <v>165</v>
      </c>
      <c r="X29" s="66" t="s">
        <v>182</v>
      </c>
    </row>
    <row r="30" spans="1:24" x14ac:dyDescent="0.25">
      <c r="A30" s="42" t="s">
        <v>156</v>
      </c>
      <c r="B30" s="66" t="s">
        <v>156</v>
      </c>
      <c r="C30" s="44">
        <v>-0.47589450562293134</v>
      </c>
      <c r="D30" s="45">
        <v>-0.45099999999999996</v>
      </c>
      <c r="E30" s="45">
        <v>5.2310975077018887E-2</v>
      </c>
      <c r="F30" s="45">
        <v>5.5198460361266931E-2</v>
      </c>
      <c r="G30" s="66" t="s">
        <v>182</v>
      </c>
      <c r="H30" s="50" t="s">
        <v>387</v>
      </c>
      <c r="I30" s="50" t="s">
        <v>387</v>
      </c>
      <c r="J30" s="66" t="s">
        <v>182</v>
      </c>
      <c r="K30" s="50" t="s">
        <v>387</v>
      </c>
      <c r="L30" s="50" t="s">
        <v>387</v>
      </c>
      <c r="M30" s="44">
        <v>-1.7854596067413482</v>
      </c>
      <c r="N30" s="45">
        <v>-1.8259999999999998</v>
      </c>
      <c r="O30" s="45">
        <v>2.2705858539495135E-2</v>
      </c>
      <c r="P30" s="45">
        <v>2.2201748772536511E-2</v>
      </c>
      <c r="Q30" s="66" t="s">
        <v>182</v>
      </c>
      <c r="R30" s="50" t="s">
        <v>387</v>
      </c>
      <c r="S30" s="50" t="s">
        <v>387</v>
      </c>
      <c r="T30" s="66" t="s">
        <v>182</v>
      </c>
      <c r="U30" s="50" t="s">
        <v>387</v>
      </c>
      <c r="V30" s="50" t="s">
        <v>387</v>
      </c>
      <c r="W30" s="44" t="s">
        <v>165</v>
      </c>
      <c r="X30" s="66" t="s">
        <v>182</v>
      </c>
    </row>
    <row r="31" spans="1:24" x14ac:dyDescent="0.25">
      <c r="A31" s="42" t="s">
        <v>151</v>
      </c>
      <c r="B31" s="66" t="s">
        <v>151</v>
      </c>
      <c r="C31" s="44">
        <v>-2.286601192700398</v>
      </c>
      <c r="D31" s="45">
        <v>-2.3320000000000003</v>
      </c>
      <c r="E31" s="45">
        <v>1.9854274302196041E-2</v>
      </c>
      <c r="F31" s="45">
        <v>1.9467756131904941E-2</v>
      </c>
      <c r="G31" s="66" t="s">
        <v>182</v>
      </c>
      <c r="H31" s="50" t="s">
        <v>387</v>
      </c>
      <c r="I31" s="50" t="s">
        <v>387</v>
      </c>
      <c r="J31" s="66" t="s">
        <v>182</v>
      </c>
      <c r="K31" s="50" t="s">
        <v>387</v>
      </c>
      <c r="L31" s="50" t="s">
        <v>387</v>
      </c>
      <c r="M31" s="44">
        <v>-1.9111466773864227</v>
      </c>
      <c r="N31" s="45">
        <v>-1.9359999999999999</v>
      </c>
      <c r="O31" s="45">
        <v>1.3004403538280595E-2</v>
      </c>
      <c r="P31" s="45">
        <v>1.2837460027674174E-2</v>
      </c>
      <c r="Q31" s="66" t="s">
        <v>182</v>
      </c>
      <c r="R31" s="50" t="s">
        <v>387</v>
      </c>
      <c r="S31" s="50" t="s">
        <v>387</v>
      </c>
      <c r="T31" s="66" t="s">
        <v>182</v>
      </c>
      <c r="U31" s="50" t="s">
        <v>387</v>
      </c>
      <c r="V31" s="50" t="s">
        <v>387</v>
      </c>
      <c r="W31" s="44" t="s">
        <v>165</v>
      </c>
      <c r="X31" s="66" t="s">
        <v>182</v>
      </c>
    </row>
    <row r="32" spans="1:24" x14ac:dyDescent="0.25">
      <c r="A32" s="42" t="s">
        <v>152</v>
      </c>
      <c r="B32" s="66" t="s">
        <v>152</v>
      </c>
      <c r="C32" s="44">
        <v>-1.8260000000000032</v>
      </c>
      <c r="D32" s="45">
        <v>-1.8260000000000001</v>
      </c>
      <c r="E32" s="45">
        <v>1.7024230388556589E-15</v>
      </c>
      <c r="F32" s="45">
        <v>1.7024230388556616E-15</v>
      </c>
      <c r="G32" s="66" t="s">
        <v>182</v>
      </c>
      <c r="H32" s="50" t="s">
        <v>387</v>
      </c>
      <c r="I32" s="50" t="s">
        <v>387</v>
      </c>
      <c r="J32" s="66" t="s">
        <v>182</v>
      </c>
      <c r="K32" s="50" t="s">
        <v>387</v>
      </c>
      <c r="L32" s="50" t="s">
        <v>387</v>
      </c>
      <c r="M32" s="44">
        <v>-1.1999877571871322</v>
      </c>
      <c r="N32" s="45">
        <v>-1.2</v>
      </c>
      <c r="O32" s="45">
        <v>1.0202448145313886E-5</v>
      </c>
      <c r="P32" s="45">
        <v>1.0202344056427689E-5</v>
      </c>
      <c r="Q32" s="66" t="s">
        <v>182</v>
      </c>
      <c r="R32" s="50" t="s">
        <v>387</v>
      </c>
      <c r="S32" s="50" t="s">
        <v>387</v>
      </c>
      <c r="T32" s="66" t="s">
        <v>182</v>
      </c>
      <c r="U32" s="50" t="s">
        <v>387</v>
      </c>
      <c r="V32" s="50" t="s">
        <v>387</v>
      </c>
      <c r="W32" s="44" t="s">
        <v>165</v>
      </c>
      <c r="X32" s="66" t="s">
        <v>182</v>
      </c>
    </row>
    <row r="33" spans="1:24" x14ac:dyDescent="0.25">
      <c r="A33" s="42" t="s">
        <v>157</v>
      </c>
      <c r="B33" s="66" t="s">
        <v>157</v>
      </c>
      <c r="C33" s="44">
        <v>-0.93344479109482748</v>
      </c>
      <c r="D33" s="45">
        <v>-0.73199999999999998</v>
      </c>
      <c r="E33" s="45">
        <v>0.21580793317037533</v>
      </c>
      <c r="F33" s="45">
        <v>0.27519780204211408</v>
      </c>
      <c r="G33" s="66" t="s">
        <v>182</v>
      </c>
      <c r="H33" s="50" t="s">
        <v>387</v>
      </c>
      <c r="I33" s="50" t="s">
        <v>387</v>
      </c>
      <c r="J33" s="66" t="s">
        <v>182</v>
      </c>
      <c r="K33" s="50" t="s">
        <v>387</v>
      </c>
      <c r="L33" s="50" t="s">
        <v>387</v>
      </c>
      <c r="M33" s="44">
        <v>-4.8452653079700179</v>
      </c>
      <c r="N33" s="45">
        <v>-3.2280000000000002</v>
      </c>
      <c r="O33" s="45">
        <v>0.33378261151350458</v>
      </c>
      <c r="P33" s="45">
        <v>0.5010115576115296</v>
      </c>
      <c r="Q33" s="66" t="s">
        <v>182</v>
      </c>
      <c r="R33" s="50" t="s">
        <v>387</v>
      </c>
      <c r="S33" s="50" t="s">
        <v>387</v>
      </c>
      <c r="T33" s="66" t="s">
        <v>182</v>
      </c>
      <c r="U33" s="50" t="s">
        <v>387</v>
      </c>
      <c r="V33" s="50" t="s">
        <v>387</v>
      </c>
      <c r="W33" s="44" t="s">
        <v>165</v>
      </c>
      <c r="X33" s="66" t="s">
        <v>182</v>
      </c>
    </row>
    <row r="34" spans="1:24" x14ac:dyDescent="0.25">
      <c r="A34" s="42" t="s">
        <v>131</v>
      </c>
      <c r="B34" s="66" t="s">
        <v>131</v>
      </c>
      <c r="C34" s="44">
        <v>-1.7409074317799687</v>
      </c>
      <c r="D34" s="45">
        <v>-2.508</v>
      </c>
      <c r="E34" s="45">
        <v>0.4406280048076579</v>
      </c>
      <c r="F34" s="45">
        <v>0.30585828078948618</v>
      </c>
      <c r="G34" s="66" t="s">
        <v>182</v>
      </c>
      <c r="H34" s="50" t="s">
        <v>387</v>
      </c>
      <c r="I34" s="50" t="s">
        <v>387</v>
      </c>
      <c r="J34" s="66" t="s">
        <v>182</v>
      </c>
      <c r="K34" s="50" t="s">
        <v>387</v>
      </c>
      <c r="L34" s="50" t="s">
        <v>387</v>
      </c>
      <c r="M34" s="44">
        <v>-1.4352699005101119</v>
      </c>
      <c r="N34" s="45">
        <v>-2.4119999999999999</v>
      </c>
      <c r="O34" s="45">
        <v>0.68052015801539945</v>
      </c>
      <c r="P34" s="45">
        <v>0.40494614406711776</v>
      </c>
      <c r="Q34" s="66" t="s">
        <v>182</v>
      </c>
      <c r="R34" s="50" t="s">
        <v>387</v>
      </c>
      <c r="S34" s="50" t="s">
        <v>387</v>
      </c>
      <c r="T34" s="66" t="s">
        <v>182</v>
      </c>
      <c r="U34" s="50" t="s">
        <v>387</v>
      </c>
      <c r="V34" s="50" t="s">
        <v>387</v>
      </c>
      <c r="W34" s="44" t="s">
        <v>165</v>
      </c>
      <c r="X34" s="66" t="s">
        <v>182</v>
      </c>
    </row>
    <row r="35" spans="1:24" x14ac:dyDescent="0.25">
      <c r="A35" s="42" t="s">
        <v>124</v>
      </c>
      <c r="B35" s="66" t="s">
        <v>124</v>
      </c>
      <c r="C35" s="44">
        <v>0.43002083049348355</v>
      </c>
      <c r="D35" s="45">
        <v>0.43</v>
      </c>
      <c r="E35" s="45">
        <v>4.8440661489943086E-5</v>
      </c>
      <c r="F35" s="45">
        <v>4.8443008101300077E-5</v>
      </c>
      <c r="G35" s="66" t="s">
        <v>182</v>
      </c>
      <c r="H35" s="50" t="s">
        <v>387</v>
      </c>
      <c r="I35" s="50" t="s">
        <v>387</v>
      </c>
      <c r="J35" s="66" t="s">
        <v>182</v>
      </c>
      <c r="K35" s="50" t="s">
        <v>387</v>
      </c>
      <c r="L35" s="50" t="s">
        <v>387</v>
      </c>
      <c r="M35" s="44">
        <v>-5.1500297986465302</v>
      </c>
      <c r="N35" s="45">
        <v>-5.15</v>
      </c>
      <c r="O35" s="45">
        <v>5.7861114779736428E-6</v>
      </c>
      <c r="P35" s="45">
        <v>5.7861449572533932E-6</v>
      </c>
      <c r="Q35" s="66" t="s">
        <v>182</v>
      </c>
      <c r="R35" s="50" t="s">
        <v>387</v>
      </c>
      <c r="S35" s="50" t="s">
        <v>387</v>
      </c>
      <c r="T35" s="66" t="s">
        <v>182</v>
      </c>
      <c r="U35" s="50" t="s">
        <v>387</v>
      </c>
      <c r="V35" s="50" t="s">
        <v>387</v>
      </c>
      <c r="W35" s="44" t="s">
        <v>165</v>
      </c>
      <c r="X35" s="66" t="s">
        <v>182</v>
      </c>
    </row>
    <row r="36" spans="1:24" x14ac:dyDescent="0.25">
      <c r="A36" s="42" t="s">
        <v>132</v>
      </c>
      <c r="B36" s="66" t="s">
        <v>132</v>
      </c>
      <c r="C36" s="44">
        <v>-1.3984811862038129</v>
      </c>
      <c r="D36" s="45">
        <v>-1.3080000000000001</v>
      </c>
      <c r="E36" s="45">
        <v>6.4699609187753651E-2</v>
      </c>
      <c r="F36" s="45">
        <v>6.9175218810254471E-2</v>
      </c>
      <c r="G36" s="66" t="s">
        <v>182</v>
      </c>
      <c r="H36" s="50" t="s">
        <v>387</v>
      </c>
      <c r="I36" s="50" t="s">
        <v>387</v>
      </c>
      <c r="J36" s="66" t="s">
        <v>182</v>
      </c>
      <c r="K36" s="50" t="s">
        <v>387</v>
      </c>
      <c r="L36" s="50" t="s">
        <v>387</v>
      </c>
      <c r="M36" s="44">
        <v>-3.6618218232859245</v>
      </c>
      <c r="N36" s="45">
        <v>-3.7680000000000002</v>
      </c>
      <c r="O36" s="45">
        <v>2.899599757663715E-2</v>
      </c>
      <c r="P36" s="45">
        <v>2.8178921633247266E-2</v>
      </c>
      <c r="Q36" s="66" t="s">
        <v>182</v>
      </c>
      <c r="R36" s="50" t="s">
        <v>387</v>
      </c>
      <c r="S36" s="50" t="s">
        <v>387</v>
      </c>
      <c r="T36" s="66" t="s">
        <v>182</v>
      </c>
      <c r="U36" s="50" t="s">
        <v>387</v>
      </c>
      <c r="V36" s="50" t="s">
        <v>387</v>
      </c>
      <c r="W36" s="44" t="s">
        <v>419</v>
      </c>
      <c r="X36" s="66" t="s">
        <v>182</v>
      </c>
    </row>
    <row r="37" spans="1:24" x14ac:dyDescent="0.25">
      <c r="A37" s="42" t="s">
        <v>125</v>
      </c>
      <c r="B37" s="66" t="s">
        <v>125</v>
      </c>
      <c r="C37" s="44">
        <v>-2.5458505089300223</v>
      </c>
      <c r="D37" s="45">
        <v>-3.78</v>
      </c>
      <c r="E37" s="45">
        <v>0.48476903366516583</v>
      </c>
      <c r="F37" s="45">
        <v>0.32649457435713691</v>
      </c>
      <c r="G37" s="66" t="s">
        <v>182</v>
      </c>
      <c r="H37" s="50" t="s">
        <v>387</v>
      </c>
      <c r="I37" s="50" t="s">
        <v>387</v>
      </c>
      <c r="J37" s="66" t="s">
        <v>182</v>
      </c>
      <c r="K37" s="50" t="s">
        <v>387</v>
      </c>
      <c r="L37" s="50" t="s">
        <v>387</v>
      </c>
      <c r="M37" s="44">
        <v>-3.17341357941</v>
      </c>
      <c r="N37" s="45">
        <v>-2.82</v>
      </c>
      <c r="O37" s="45">
        <v>0.1113670092366929</v>
      </c>
      <c r="P37" s="45">
        <v>0.12532396432978729</v>
      </c>
      <c r="Q37" s="66" t="s">
        <v>182</v>
      </c>
      <c r="R37" s="50" t="s">
        <v>387</v>
      </c>
      <c r="S37" s="50" t="s">
        <v>387</v>
      </c>
      <c r="T37" s="66" t="s">
        <v>182</v>
      </c>
      <c r="U37" s="50" t="s">
        <v>387</v>
      </c>
      <c r="V37" s="50" t="s">
        <v>387</v>
      </c>
      <c r="W37" s="44" t="s">
        <v>165</v>
      </c>
      <c r="X37" s="66" t="s">
        <v>182</v>
      </c>
    </row>
    <row r="38" spans="1:24" x14ac:dyDescent="0.25">
      <c r="A38" s="42" t="s">
        <v>103</v>
      </c>
      <c r="B38" s="66" t="s">
        <v>103</v>
      </c>
      <c r="C38" s="44">
        <v>-10.113469506270011</v>
      </c>
      <c r="D38" s="45">
        <v>-10.98</v>
      </c>
      <c r="E38" s="45">
        <v>8.5680833189121661E-2</v>
      </c>
      <c r="F38" s="45">
        <v>7.8918988499999024E-2</v>
      </c>
      <c r="G38" s="66">
        <v>-6.3788999999999998</v>
      </c>
      <c r="H38" s="45">
        <v>0.72129991064290089</v>
      </c>
      <c r="I38" s="45">
        <v>0.41904371584699457</v>
      </c>
      <c r="J38" s="66" t="s">
        <v>182</v>
      </c>
      <c r="K38" s="50" t="s">
        <v>387</v>
      </c>
      <c r="L38" s="50" t="s">
        <v>387</v>
      </c>
      <c r="M38" s="44">
        <v>-15.880478789260014</v>
      </c>
      <c r="N38" s="45">
        <v>-14.95</v>
      </c>
      <c r="O38" s="45">
        <v>5.8592615601067294E-2</v>
      </c>
      <c r="P38" s="45">
        <v>6.2239383896990949E-2</v>
      </c>
      <c r="Q38" s="66">
        <v>-5.3315999999999999</v>
      </c>
      <c r="R38" s="45">
        <v>1.8040363118013354</v>
      </c>
      <c r="S38" s="45">
        <v>0.64337123745819402</v>
      </c>
      <c r="T38" s="66" t="s">
        <v>182</v>
      </c>
      <c r="U38" s="50" t="s">
        <v>387</v>
      </c>
      <c r="V38" s="50" t="s">
        <v>387</v>
      </c>
      <c r="W38" s="44" t="s">
        <v>167</v>
      </c>
      <c r="X38" s="66" t="s">
        <v>182</v>
      </c>
    </row>
    <row r="39" spans="1:24" x14ac:dyDescent="0.25">
      <c r="A39" s="42" t="s">
        <v>110</v>
      </c>
      <c r="B39" s="66" t="s">
        <v>110</v>
      </c>
      <c r="C39" s="44">
        <v>-64.503437847330176</v>
      </c>
      <c r="D39" s="45">
        <v>-37.74</v>
      </c>
      <c r="E39" s="45">
        <v>0.41491490594152763</v>
      </c>
      <c r="F39" s="45">
        <v>0.70915309611367705</v>
      </c>
      <c r="G39" s="66" t="s">
        <v>182</v>
      </c>
      <c r="H39" s="50" t="s">
        <v>387</v>
      </c>
      <c r="I39" s="50" t="s">
        <v>387</v>
      </c>
      <c r="J39" s="66" t="s">
        <v>182</v>
      </c>
      <c r="K39" s="50" t="s">
        <v>387</v>
      </c>
      <c r="L39" s="50" t="s">
        <v>387</v>
      </c>
      <c r="M39" s="44">
        <v>16.181717317860102</v>
      </c>
      <c r="N39" s="45">
        <v>5.7359999999999998</v>
      </c>
      <c r="O39" s="45">
        <v>0.64552588039162839</v>
      </c>
      <c r="P39" s="45">
        <v>1.821080425010478</v>
      </c>
      <c r="Q39" s="66" t="s">
        <v>182</v>
      </c>
      <c r="R39" s="50" t="s">
        <v>387</v>
      </c>
      <c r="S39" s="50" t="s">
        <v>387</v>
      </c>
      <c r="T39" s="66" t="s">
        <v>182</v>
      </c>
      <c r="U39" s="50" t="s">
        <v>387</v>
      </c>
      <c r="V39" s="50" t="s">
        <v>387</v>
      </c>
      <c r="W39" s="44" t="s">
        <v>167</v>
      </c>
      <c r="X39" s="66" t="s">
        <v>182</v>
      </c>
    </row>
    <row r="40" spans="1:24" x14ac:dyDescent="0.25">
      <c r="A40" s="42" t="s">
        <v>114</v>
      </c>
      <c r="B40" s="66" t="s">
        <v>114</v>
      </c>
      <c r="C40" s="44">
        <v>-614.44253907269956</v>
      </c>
      <c r="D40" s="45">
        <v>-588.24</v>
      </c>
      <c r="E40" s="45">
        <v>4.264440921073552E-2</v>
      </c>
      <c r="F40" s="45">
        <v>4.454396007190866E-2</v>
      </c>
      <c r="G40" s="62">
        <v>-71.069999999999993</v>
      </c>
      <c r="H40" s="63">
        <v>7.2769100886449989</v>
      </c>
      <c r="I40" s="45">
        <v>0.87918196654426761</v>
      </c>
      <c r="J40" s="66" t="s">
        <v>182</v>
      </c>
      <c r="K40" s="50" t="s">
        <v>387</v>
      </c>
      <c r="L40" s="50" t="s">
        <v>387</v>
      </c>
      <c r="M40" s="44">
        <v>-50.489999999999974</v>
      </c>
      <c r="N40" s="45">
        <v>-50.49</v>
      </c>
      <c r="O40" s="45">
        <v>5.6291759616565699E-16</v>
      </c>
      <c r="P40" s="45">
        <v>5.6291759616565669E-16</v>
      </c>
      <c r="Q40" s="66">
        <v>29.55</v>
      </c>
      <c r="R40" s="45">
        <v>2.7086294416243657</v>
      </c>
      <c r="S40" s="45">
        <v>1.5852644087938206</v>
      </c>
      <c r="T40" s="66" t="s">
        <v>182</v>
      </c>
      <c r="U40" s="50" t="s">
        <v>387</v>
      </c>
      <c r="V40" s="50" t="s">
        <v>387</v>
      </c>
      <c r="W40" s="44" t="s">
        <v>167</v>
      </c>
      <c r="X40" s="66" t="s">
        <v>182</v>
      </c>
    </row>
    <row r="41" spans="1:24" x14ac:dyDescent="0.25">
      <c r="A41" s="42" t="s">
        <v>108</v>
      </c>
      <c r="B41" s="66" t="s">
        <v>108</v>
      </c>
      <c r="C41" s="44">
        <v>-58.686128764770046</v>
      </c>
      <c r="D41" s="45">
        <v>-36.372</v>
      </c>
      <c r="E41" s="45">
        <v>0.38022833051761074</v>
      </c>
      <c r="F41" s="45">
        <v>0.61349743662075351</v>
      </c>
      <c r="G41" s="66">
        <v>-13.9314</v>
      </c>
      <c r="H41" s="45">
        <v>1.6107928851371722</v>
      </c>
      <c r="I41" s="45">
        <v>0.61697459584295611</v>
      </c>
      <c r="J41" s="66" t="s">
        <v>182</v>
      </c>
      <c r="K41" s="50" t="s">
        <v>387</v>
      </c>
      <c r="L41" s="50" t="s">
        <v>387</v>
      </c>
      <c r="M41" s="44">
        <v>7.0966808793600107</v>
      </c>
      <c r="N41" s="46">
        <v>1.752</v>
      </c>
      <c r="O41" s="45">
        <v>0.75312402660016498</v>
      </c>
      <c r="P41" s="47">
        <v>3.0506169402739789</v>
      </c>
      <c r="Q41" s="66">
        <v>-3.3138000000000001</v>
      </c>
      <c r="R41" s="45">
        <v>1.5286981712837227</v>
      </c>
      <c r="S41" s="45">
        <v>2.8914383561643837</v>
      </c>
      <c r="T41" s="66" t="s">
        <v>182</v>
      </c>
      <c r="U41" s="50" t="s">
        <v>387</v>
      </c>
      <c r="V41" s="50" t="s">
        <v>387</v>
      </c>
      <c r="W41" s="44" t="s">
        <v>167</v>
      </c>
      <c r="X41" s="66" t="s">
        <v>182</v>
      </c>
    </row>
    <row r="42" spans="1:24" x14ac:dyDescent="0.25">
      <c r="A42" s="42" t="s">
        <v>107</v>
      </c>
      <c r="B42" s="66" t="s">
        <v>107</v>
      </c>
      <c r="C42" s="44">
        <v>-40.76673233589009</v>
      </c>
      <c r="D42" s="45">
        <v>-31.68</v>
      </c>
      <c r="E42" s="45">
        <v>0.22289577347091763</v>
      </c>
      <c r="F42" s="45">
        <v>0.28682867221875286</v>
      </c>
      <c r="G42" s="66" t="s">
        <v>182</v>
      </c>
      <c r="H42" s="50" t="s">
        <v>387</v>
      </c>
      <c r="I42" s="50" t="s">
        <v>387</v>
      </c>
      <c r="J42" s="66" t="s">
        <v>182</v>
      </c>
      <c r="K42" s="50" t="s">
        <v>387</v>
      </c>
      <c r="L42" s="50" t="s">
        <v>387</v>
      </c>
      <c r="M42" s="44">
        <v>-4.2592340107200304</v>
      </c>
      <c r="N42" s="45">
        <v>-10.272</v>
      </c>
      <c r="O42" s="45">
        <v>1.4117012528887798</v>
      </c>
      <c r="P42" s="45">
        <v>0.5853549444392494</v>
      </c>
      <c r="Q42" s="66" t="s">
        <v>182</v>
      </c>
      <c r="R42" s="50" t="s">
        <v>387</v>
      </c>
      <c r="S42" s="50" t="s">
        <v>387</v>
      </c>
      <c r="T42" s="66" t="s">
        <v>182</v>
      </c>
      <c r="U42" s="50" t="s">
        <v>387</v>
      </c>
      <c r="V42" s="50" t="s">
        <v>387</v>
      </c>
      <c r="W42" s="44" t="s">
        <v>167</v>
      </c>
      <c r="X42" s="66" t="s">
        <v>182</v>
      </c>
    </row>
    <row r="43" spans="1:24" x14ac:dyDescent="0.25">
      <c r="A43" s="42" t="s">
        <v>104</v>
      </c>
      <c r="B43" s="66" t="s">
        <v>104</v>
      </c>
      <c r="C43" s="44">
        <v>-28.970254638060098</v>
      </c>
      <c r="D43" s="45">
        <v>-33.323999999999998</v>
      </c>
      <c r="E43" s="45">
        <v>0.15028329630972947</v>
      </c>
      <c r="F43" s="45">
        <v>0.1306489425621144</v>
      </c>
      <c r="G43" s="66" t="s">
        <v>182</v>
      </c>
      <c r="H43" s="50" t="s">
        <v>387</v>
      </c>
      <c r="I43" s="50" t="s">
        <v>387</v>
      </c>
      <c r="J43" s="66" t="s">
        <v>182</v>
      </c>
      <c r="K43" s="50" t="s">
        <v>387</v>
      </c>
      <c r="L43" s="50" t="s">
        <v>387</v>
      </c>
      <c r="M43" s="44">
        <v>-8.2499999999999112</v>
      </c>
      <c r="N43" s="45">
        <v>-8.25</v>
      </c>
      <c r="O43" s="45">
        <v>1.0765799026668301E-14</v>
      </c>
      <c r="P43" s="45">
        <v>1.0765799026668185E-14</v>
      </c>
      <c r="Q43" s="66" t="s">
        <v>182</v>
      </c>
      <c r="R43" s="50" t="s">
        <v>387</v>
      </c>
      <c r="S43" s="50" t="s">
        <v>387</v>
      </c>
      <c r="T43" s="66" t="s">
        <v>182</v>
      </c>
      <c r="U43" s="50" t="s">
        <v>387</v>
      </c>
      <c r="V43" s="50" t="s">
        <v>387</v>
      </c>
      <c r="W43" s="44" t="s">
        <v>167</v>
      </c>
      <c r="X43" s="66" t="s">
        <v>182</v>
      </c>
    </row>
    <row r="44" spans="1:24" x14ac:dyDescent="0.25">
      <c r="A44" s="42" t="s">
        <v>111</v>
      </c>
      <c r="B44" s="66" t="s">
        <v>111</v>
      </c>
      <c r="C44" s="44">
        <v>-624.64233501594038</v>
      </c>
      <c r="D44" s="45">
        <v>-776.37599999999998</v>
      </c>
      <c r="E44" s="45">
        <v>0.24291287426137628</v>
      </c>
      <c r="F44" s="45">
        <v>0.195438376487758</v>
      </c>
      <c r="G44" s="66" t="s">
        <v>182</v>
      </c>
      <c r="H44" s="50" t="s">
        <v>387</v>
      </c>
      <c r="I44" s="50" t="s">
        <v>387</v>
      </c>
      <c r="J44" s="66" t="s">
        <v>182</v>
      </c>
      <c r="K44" s="50" t="s">
        <v>387</v>
      </c>
      <c r="L44" s="50" t="s">
        <v>387</v>
      </c>
      <c r="M44" s="44">
        <v>51.897126837600048</v>
      </c>
      <c r="N44" s="62">
        <v>0</v>
      </c>
      <c r="O44" s="45">
        <v>0.98073111054626849</v>
      </c>
      <c r="P44" s="63">
        <v>50.897126837600048</v>
      </c>
      <c r="Q44" s="66" t="s">
        <v>182</v>
      </c>
      <c r="R44" s="50" t="s">
        <v>387</v>
      </c>
      <c r="S44" s="50" t="s">
        <v>387</v>
      </c>
      <c r="T44" s="66" t="s">
        <v>182</v>
      </c>
      <c r="U44" s="50" t="s">
        <v>387</v>
      </c>
      <c r="V44" s="50" t="s">
        <v>387</v>
      </c>
      <c r="W44" s="44" t="s">
        <v>167</v>
      </c>
      <c r="X44" s="66" t="s">
        <v>182</v>
      </c>
    </row>
    <row r="45" spans="1:24" x14ac:dyDescent="0.25">
      <c r="A45" s="42" t="s">
        <v>109</v>
      </c>
      <c r="B45" s="66" t="s">
        <v>109</v>
      </c>
      <c r="C45" s="44">
        <v>-72.693344200000197</v>
      </c>
      <c r="D45" s="45">
        <v>-64.084000000000003</v>
      </c>
      <c r="E45" s="45">
        <v>0.11843373412995589</v>
      </c>
      <c r="F45" s="45">
        <v>0.13434467573809677</v>
      </c>
      <c r="G45" s="66" t="s">
        <v>182</v>
      </c>
      <c r="H45" s="50" t="s">
        <v>387</v>
      </c>
      <c r="I45" s="50" t="s">
        <v>387</v>
      </c>
      <c r="J45" s="66" t="s">
        <v>182</v>
      </c>
      <c r="K45" s="50" t="s">
        <v>387</v>
      </c>
      <c r="L45" s="50" t="s">
        <v>387</v>
      </c>
      <c r="M45" s="44">
        <v>-10.419706869119894</v>
      </c>
      <c r="N45" s="45">
        <v>-26.315999999999999</v>
      </c>
      <c r="O45" s="45">
        <v>1.525598880136519</v>
      </c>
      <c r="P45" s="45">
        <v>0.60405430653899173</v>
      </c>
      <c r="Q45" s="66" t="s">
        <v>182</v>
      </c>
      <c r="R45" s="50" t="s">
        <v>387</v>
      </c>
      <c r="S45" s="50" t="s">
        <v>387</v>
      </c>
      <c r="T45" s="66" t="s">
        <v>182</v>
      </c>
      <c r="U45" s="50" t="s">
        <v>387</v>
      </c>
      <c r="V45" s="50" t="s">
        <v>387</v>
      </c>
      <c r="W45" s="44" t="s">
        <v>167</v>
      </c>
      <c r="X45" s="66" t="s">
        <v>182</v>
      </c>
    </row>
    <row r="46" spans="1:24" x14ac:dyDescent="0.25">
      <c r="A46" s="42" t="s">
        <v>106</v>
      </c>
      <c r="B46" s="66" t="s">
        <v>106</v>
      </c>
      <c r="C46" s="44">
        <v>-24.161703100000025</v>
      </c>
      <c r="D46" s="45">
        <v>-24.64</v>
      </c>
      <c r="E46" s="45">
        <v>1.9795661672540574E-2</v>
      </c>
      <c r="F46" s="45">
        <v>1.9411400162336657E-2</v>
      </c>
      <c r="G46" s="66" t="s">
        <v>182</v>
      </c>
      <c r="H46" s="50" t="s">
        <v>387</v>
      </c>
      <c r="I46" s="50" t="s">
        <v>387</v>
      </c>
      <c r="J46" s="66" t="s">
        <v>182</v>
      </c>
      <c r="K46" s="50" t="s">
        <v>387</v>
      </c>
      <c r="L46" s="50" t="s">
        <v>387</v>
      </c>
      <c r="M46" s="44">
        <v>-31.594672099999993</v>
      </c>
      <c r="N46" s="45">
        <v>-27.29</v>
      </c>
      <c r="O46" s="45">
        <v>0.13624677244236996</v>
      </c>
      <c r="P46" s="45">
        <v>0.15773807621839481</v>
      </c>
      <c r="Q46" s="66" t="s">
        <v>182</v>
      </c>
      <c r="R46" s="50" t="s">
        <v>387</v>
      </c>
      <c r="S46" s="50" t="s">
        <v>387</v>
      </c>
      <c r="T46" s="66" t="s">
        <v>182</v>
      </c>
      <c r="U46" s="50" t="s">
        <v>387</v>
      </c>
      <c r="V46" s="50" t="s">
        <v>387</v>
      </c>
      <c r="W46" s="44" t="s">
        <v>167</v>
      </c>
      <c r="X46" s="66" t="s">
        <v>182</v>
      </c>
    </row>
    <row r="47" spans="1:24" x14ac:dyDescent="0.25">
      <c r="A47" s="42" t="s">
        <v>100</v>
      </c>
      <c r="B47" s="66" t="s">
        <v>100</v>
      </c>
      <c r="C47" s="44">
        <v>-15.599853041235219</v>
      </c>
      <c r="D47" s="45">
        <v>-15.6</v>
      </c>
      <c r="E47" s="45">
        <v>9.4205223851775204E-6</v>
      </c>
      <c r="F47" s="45">
        <v>9.4204336397715396E-6</v>
      </c>
      <c r="G47" s="66" t="s">
        <v>182</v>
      </c>
      <c r="H47" s="50" t="s">
        <v>387</v>
      </c>
      <c r="I47" s="50" t="s">
        <v>387</v>
      </c>
      <c r="J47" s="66" t="s">
        <v>182</v>
      </c>
      <c r="K47" s="50" t="s">
        <v>387</v>
      </c>
      <c r="L47" s="50" t="s">
        <v>387</v>
      </c>
      <c r="M47" s="44">
        <v>-15.000392602703132</v>
      </c>
      <c r="N47" s="45">
        <v>-15</v>
      </c>
      <c r="O47" s="45">
        <v>2.6172828507223472E-5</v>
      </c>
      <c r="P47" s="45">
        <v>2.6173513542104842E-5</v>
      </c>
      <c r="Q47" s="66" t="s">
        <v>182</v>
      </c>
      <c r="R47" s="50" t="s">
        <v>387</v>
      </c>
      <c r="S47" s="50" t="s">
        <v>387</v>
      </c>
      <c r="T47" s="66" t="s">
        <v>182</v>
      </c>
      <c r="U47" s="50" t="s">
        <v>387</v>
      </c>
      <c r="V47" s="50" t="s">
        <v>387</v>
      </c>
      <c r="W47" s="44" t="s">
        <v>167</v>
      </c>
      <c r="X47" s="66" t="s">
        <v>182</v>
      </c>
    </row>
    <row r="48" spans="1:24" x14ac:dyDescent="0.25">
      <c r="A48" s="42" t="s">
        <v>98</v>
      </c>
      <c r="B48" s="66" t="s">
        <v>98</v>
      </c>
      <c r="C48" s="44">
        <v>0.11024687547000725</v>
      </c>
      <c r="D48" s="45">
        <v>-0.108</v>
      </c>
      <c r="E48" s="45">
        <v>1.9796195995539256</v>
      </c>
      <c r="F48" s="45">
        <v>2.0208044025000671</v>
      </c>
      <c r="G48" s="66" t="s">
        <v>182</v>
      </c>
      <c r="H48" s="50" t="s">
        <v>387</v>
      </c>
      <c r="I48" s="50" t="s">
        <v>387</v>
      </c>
      <c r="J48" s="66" t="s">
        <v>182</v>
      </c>
      <c r="K48" s="50" t="s">
        <v>387</v>
      </c>
      <c r="L48" s="50" t="s">
        <v>387</v>
      </c>
      <c r="M48" s="44">
        <v>-1.4520000000000155</v>
      </c>
      <c r="N48" s="45">
        <v>-1.452</v>
      </c>
      <c r="O48" s="45">
        <v>1.0704629714016546E-14</v>
      </c>
      <c r="P48" s="45">
        <v>1.0704629714016661E-14</v>
      </c>
      <c r="Q48" s="66" t="s">
        <v>182</v>
      </c>
      <c r="R48" s="50" t="s">
        <v>387</v>
      </c>
      <c r="S48" s="50" t="s">
        <v>387</v>
      </c>
      <c r="T48" s="66" t="s">
        <v>182</v>
      </c>
      <c r="U48" s="50" t="s">
        <v>387</v>
      </c>
      <c r="V48" s="50" t="s">
        <v>387</v>
      </c>
      <c r="W48" s="44" t="s">
        <v>167</v>
      </c>
      <c r="X48" s="66" t="s">
        <v>182</v>
      </c>
    </row>
    <row r="49" spans="1:24" x14ac:dyDescent="0.25">
      <c r="A49" s="42" t="s">
        <v>97</v>
      </c>
      <c r="B49" s="66" t="s">
        <v>97</v>
      </c>
      <c r="C49" s="44">
        <v>5.9021277479997344E-2</v>
      </c>
      <c r="D49" s="45">
        <v>-0.108</v>
      </c>
      <c r="E49" s="45">
        <v>2.8298485666732955</v>
      </c>
      <c r="F49" s="45">
        <v>1.5464933099999754</v>
      </c>
      <c r="G49" s="66" t="s">
        <v>182</v>
      </c>
      <c r="H49" s="50" t="s">
        <v>387</v>
      </c>
      <c r="I49" s="50" t="s">
        <v>387</v>
      </c>
      <c r="J49" s="66" t="s">
        <v>182</v>
      </c>
      <c r="K49" s="50" t="s">
        <v>387</v>
      </c>
      <c r="L49" s="50" t="s">
        <v>387</v>
      </c>
      <c r="M49" s="44">
        <v>-1.9250000000000149</v>
      </c>
      <c r="N49" s="45">
        <v>-1.925</v>
      </c>
      <c r="O49" s="45">
        <v>7.7283057298581734E-15</v>
      </c>
      <c r="P49" s="45">
        <v>7.7283057298582318E-15</v>
      </c>
      <c r="Q49" s="66" t="s">
        <v>182</v>
      </c>
      <c r="R49" s="50" t="s">
        <v>387</v>
      </c>
      <c r="S49" s="50" t="s">
        <v>387</v>
      </c>
      <c r="T49" s="66" t="s">
        <v>182</v>
      </c>
      <c r="U49" s="50" t="s">
        <v>387</v>
      </c>
      <c r="V49" s="50" t="s">
        <v>387</v>
      </c>
      <c r="W49" s="44" t="s">
        <v>167</v>
      </c>
      <c r="X49" s="66" t="s">
        <v>182</v>
      </c>
    </row>
    <row r="50" spans="1:24" x14ac:dyDescent="0.25">
      <c r="A50" s="42" t="s">
        <v>99</v>
      </c>
      <c r="B50" s="66" t="s">
        <v>99</v>
      </c>
      <c r="C50" s="44">
        <v>-0.2713884609599998</v>
      </c>
      <c r="D50" s="45">
        <v>-0.54</v>
      </c>
      <c r="E50" s="45">
        <v>0.98976772295263926</v>
      </c>
      <c r="F50" s="45">
        <v>0.49742877600000041</v>
      </c>
      <c r="G50" s="66" t="s">
        <v>182</v>
      </c>
      <c r="H50" s="50" t="s">
        <v>387</v>
      </c>
      <c r="I50" s="50" t="s">
        <v>387</v>
      </c>
      <c r="J50" s="66" t="s">
        <v>182</v>
      </c>
      <c r="K50" s="50" t="s">
        <v>387</v>
      </c>
      <c r="L50" s="50" t="s">
        <v>387</v>
      </c>
      <c r="M50" s="44">
        <v>-1.5949999999999986</v>
      </c>
      <c r="N50" s="45">
        <v>-1.595</v>
      </c>
      <c r="O50" s="45">
        <v>8.3527751068977366E-16</v>
      </c>
      <c r="P50" s="45">
        <v>8.3527751068977297E-16</v>
      </c>
      <c r="Q50" s="66" t="s">
        <v>182</v>
      </c>
      <c r="R50" s="50" t="s">
        <v>387</v>
      </c>
      <c r="S50" s="50" t="s">
        <v>387</v>
      </c>
      <c r="T50" s="66" t="s">
        <v>182</v>
      </c>
      <c r="U50" s="50" t="s">
        <v>387</v>
      </c>
      <c r="V50" s="50" t="s">
        <v>387</v>
      </c>
      <c r="W50" s="44" t="s">
        <v>167</v>
      </c>
      <c r="X50" s="66" t="s">
        <v>182</v>
      </c>
    </row>
    <row r="51" spans="1:24" x14ac:dyDescent="0.25">
      <c r="A51" s="42" t="s">
        <v>102</v>
      </c>
      <c r="B51" s="66" t="s">
        <v>102</v>
      </c>
      <c r="C51" s="44">
        <v>-0.32859255782999269</v>
      </c>
      <c r="D51" s="46">
        <v>-1.524</v>
      </c>
      <c r="E51" s="47">
        <v>3.637962618704492</v>
      </c>
      <c r="F51" s="45">
        <v>0.78438808541339067</v>
      </c>
      <c r="G51" s="66" t="s">
        <v>182</v>
      </c>
      <c r="H51" s="50" t="s">
        <v>387</v>
      </c>
      <c r="I51" s="50" t="s">
        <v>387</v>
      </c>
      <c r="J51" s="66" t="s">
        <v>182</v>
      </c>
      <c r="K51" s="50" t="s">
        <v>387</v>
      </c>
      <c r="L51" s="50" t="s">
        <v>387</v>
      </c>
      <c r="M51" s="44">
        <v>-8.6020000000000412</v>
      </c>
      <c r="N51" s="45">
        <v>-8.6020000000000003</v>
      </c>
      <c r="O51" s="45">
        <v>4.7496172176477057E-15</v>
      </c>
      <c r="P51" s="45">
        <v>4.7496172176477286E-15</v>
      </c>
      <c r="Q51" s="66" t="s">
        <v>182</v>
      </c>
      <c r="R51" s="50" t="s">
        <v>387</v>
      </c>
      <c r="S51" s="50" t="s">
        <v>387</v>
      </c>
      <c r="T51" s="66" t="s">
        <v>182</v>
      </c>
      <c r="U51" s="50" t="s">
        <v>387</v>
      </c>
      <c r="V51" s="50" t="s">
        <v>387</v>
      </c>
      <c r="W51" s="44" t="s">
        <v>167</v>
      </c>
      <c r="X51" s="66" t="s">
        <v>182</v>
      </c>
    </row>
    <row r="52" spans="1:24" x14ac:dyDescent="0.25">
      <c r="A52" s="42" t="s">
        <v>101</v>
      </c>
      <c r="B52" s="66" t="s">
        <v>101</v>
      </c>
      <c r="C52" s="44">
        <v>-0.26399999999999724</v>
      </c>
      <c r="D52" s="45">
        <v>-0.26400000000000001</v>
      </c>
      <c r="E52" s="45">
        <v>1.0513475611980759E-14</v>
      </c>
      <c r="F52" s="45">
        <v>1.0513475611980648E-14</v>
      </c>
      <c r="G52" s="66" t="s">
        <v>182</v>
      </c>
      <c r="H52" s="50" t="s">
        <v>387</v>
      </c>
      <c r="I52" s="50" t="s">
        <v>387</v>
      </c>
      <c r="J52" s="66" t="s">
        <v>182</v>
      </c>
      <c r="K52" s="50" t="s">
        <v>387</v>
      </c>
      <c r="L52" s="50" t="s">
        <v>387</v>
      </c>
      <c r="M52" s="44">
        <v>-0.17984075436000549</v>
      </c>
      <c r="N52" s="45">
        <v>-0.216</v>
      </c>
      <c r="O52" s="45">
        <v>0.20106257766029426</v>
      </c>
      <c r="P52" s="45">
        <v>0.16740391499997459</v>
      </c>
      <c r="Q52" s="66" t="s">
        <v>182</v>
      </c>
      <c r="R52" s="50" t="s">
        <v>387</v>
      </c>
      <c r="S52" s="50" t="s">
        <v>387</v>
      </c>
      <c r="T52" s="66" t="s">
        <v>182</v>
      </c>
      <c r="U52" s="50" t="s">
        <v>387</v>
      </c>
      <c r="V52" s="50" t="s">
        <v>387</v>
      </c>
      <c r="W52" s="44" t="s">
        <v>167</v>
      </c>
      <c r="X52" s="66" t="s">
        <v>182</v>
      </c>
    </row>
    <row r="53" spans="1:24" x14ac:dyDescent="0.25">
      <c r="A53" s="42" t="s">
        <v>123</v>
      </c>
      <c r="B53" s="66" t="s">
        <v>123</v>
      </c>
      <c r="C53" s="44">
        <v>-102.02972674241981</v>
      </c>
      <c r="D53" s="45">
        <v>-134.4</v>
      </c>
      <c r="E53" s="45">
        <v>0.31726315742568728</v>
      </c>
      <c r="F53" s="45">
        <v>0.24085024745223357</v>
      </c>
      <c r="G53" s="66" t="s">
        <v>182</v>
      </c>
      <c r="H53" s="50" t="s">
        <v>387</v>
      </c>
      <c r="I53" s="50" t="s">
        <v>387</v>
      </c>
      <c r="J53" s="66" t="s">
        <v>182</v>
      </c>
      <c r="K53" s="50" t="s">
        <v>387</v>
      </c>
      <c r="L53" s="50" t="s">
        <v>387</v>
      </c>
      <c r="M53" s="44">
        <v>15.850977786399953</v>
      </c>
      <c r="N53" s="45">
        <v>27.111999999999998</v>
      </c>
      <c r="O53" s="45">
        <v>0.71043076113966519</v>
      </c>
      <c r="P53" s="45">
        <v>0.4153519553555638</v>
      </c>
      <c r="Q53" s="66" t="s">
        <v>182</v>
      </c>
      <c r="R53" s="50" t="s">
        <v>387</v>
      </c>
      <c r="S53" s="50" t="s">
        <v>387</v>
      </c>
      <c r="T53" s="66" t="s">
        <v>182</v>
      </c>
      <c r="U53" s="50" t="s">
        <v>387</v>
      </c>
      <c r="V53" s="50" t="s">
        <v>387</v>
      </c>
      <c r="W53" s="44" t="s">
        <v>167</v>
      </c>
      <c r="X53" s="66" t="s">
        <v>182</v>
      </c>
    </row>
    <row r="54" spans="1:24" x14ac:dyDescent="0.25">
      <c r="A54" s="42" t="s">
        <v>116</v>
      </c>
      <c r="B54" s="66" t="s">
        <v>116</v>
      </c>
      <c r="C54" s="44">
        <v>7.4114271957300097</v>
      </c>
      <c r="D54" s="45">
        <v>3.8759999999999999</v>
      </c>
      <c r="E54" s="45">
        <v>0.47702380423663837</v>
      </c>
      <c r="F54" s="45">
        <v>0.91213291943498709</v>
      </c>
      <c r="G54" s="66" t="s">
        <v>182</v>
      </c>
      <c r="H54" s="50" t="s">
        <v>387</v>
      </c>
      <c r="I54" s="50" t="s">
        <v>387</v>
      </c>
      <c r="J54" s="66" t="s">
        <v>182</v>
      </c>
      <c r="K54" s="50" t="s">
        <v>387</v>
      </c>
      <c r="L54" s="50" t="s">
        <v>387</v>
      </c>
      <c r="M54" s="44">
        <v>-37.554831631620061</v>
      </c>
      <c r="N54" s="45">
        <v>-20.628</v>
      </c>
      <c r="O54" s="45">
        <v>0.45072313990533691</v>
      </c>
      <c r="P54" s="45">
        <v>0.8205755105497412</v>
      </c>
      <c r="Q54" s="66" t="s">
        <v>182</v>
      </c>
      <c r="R54" s="50" t="s">
        <v>387</v>
      </c>
      <c r="S54" s="50" t="s">
        <v>387</v>
      </c>
      <c r="T54" s="66" t="s">
        <v>182</v>
      </c>
      <c r="U54" s="50" t="s">
        <v>387</v>
      </c>
      <c r="V54" s="50" t="s">
        <v>387</v>
      </c>
      <c r="W54" s="44" t="s">
        <v>167</v>
      </c>
      <c r="X54" s="66" t="s">
        <v>182</v>
      </c>
    </row>
    <row r="55" spans="1:24" x14ac:dyDescent="0.25">
      <c r="A55" s="42" t="s">
        <v>117</v>
      </c>
      <c r="B55" s="66" t="s">
        <v>117</v>
      </c>
      <c r="C55" s="44">
        <v>-13.799600099250016</v>
      </c>
      <c r="D55" s="62">
        <v>0.80400000000000005</v>
      </c>
      <c r="E55" s="45">
        <v>1.0582625579159861</v>
      </c>
      <c r="F55" s="63">
        <v>18.163681715485094</v>
      </c>
      <c r="G55" s="66" t="s">
        <v>182</v>
      </c>
      <c r="H55" s="50" t="s">
        <v>387</v>
      </c>
      <c r="I55" s="50" t="s">
        <v>387</v>
      </c>
      <c r="J55" s="66" t="s">
        <v>182</v>
      </c>
      <c r="K55" s="50" t="s">
        <v>387</v>
      </c>
      <c r="L55" s="50" t="s">
        <v>387</v>
      </c>
      <c r="M55" s="44">
        <v>-3.239485845359984</v>
      </c>
      <c r="N55" s="45">
        <v>-4.524</v>
      </c>
      <c r="O55" s="45">
        <v>0.39651790930954844</v>
      </c>
      <c r="P55" s="45">
        <v>0.28393327909814681</v>
      </c>
      <c r="Q55" s="66" t="s">
        <v>182</v>
      </c>
      <c r="R55" s="50" t="s">
        <v>387</v>
      </c>
      <c r="S55" s="50" t="s">
        <v>387</v>
      </c>
      <c r="T55" s="66" t="s">
        <v>182</v>
      </c>
      <c r="U55" s="50" t="s">
        <v>387</v>
      </c>
      <c r="V55" s="50" t="s">
        <v>387</v>
      </c>
      <c r="W55" s="44" t="s">
        <v>167</v>
      </c>
      <c r="X55" s="66" t="s">
        <v>182</v>
      </c>
    </row>
    <row r="56" spans="1:24" x14ac:dyDescent="0.25">
      <c r="A56" s="42" t="s">
        <v>118</v>
      </c>
      <c r="B56" s="66" t="s">
        <v>118</v>
      </c>
      <c r="C56" s="44">
        <v>-5.4708275645399826</v>
      </c>
      <c r="D56" s="45">
        <v>-10.992000000000001</v>
      </c>
      <c r="E56" s="45">
        <v>1.0092024232762067</v>
      </c>
      <c r="F56" s="45">
        <v>0.5022900687281675</v>
      </c>
      <c r="G56" s="66" t="s">
        <v>182</v>
      </c>
      <c r="H56" s="50" t="s">
        <v>387</v>
      </c>
      <c r="I56" s="50" t="s">
        <v>387</v>
      </c>
      <c r="J56" s="66" t="s">
        <v>182</v>
      </c>
      <c r="K56" s="50" t="s">
        <v>387</v>
      </c>
      <c r="L56" s="50" t="s">
        <v>387</v>
      </c>
      <c r="M56" s="44">
        <v>-15.1993438749299</v>
      </c>
      <c r="N56" s="45">
        <v>-5.8440000000000003</v>
      </c>
      <c r="O56" s="45">
        <v>0.61550971883469197</v>
      </c>
      <c r="P56" s="45">
        <v>1.6008459744917694</v>
      </c>
      <c r="Q56" s="66" t="s">
        <v>182</v>
      </c>
      <c r="R56" s="50" t="s">
        <v>387</v>
      </c>
      <c r="S56" s="50" t="s">
        <v>387</v>
      </c>
      <c r="T56" s="66" t="s">
        <v>182</v>
      </c>
      <c r="U56" s="50" t="s">
        <v>387</v>
      </c>
      <c r="V56" s="50" t="s">
        <v>387</v>
      </c>
      <c r="W56" s="44" t="s">
        <v>167</v>
      </c>
      <c r="X56" s="66" t="s">
        <v>182</v>
      </c>
    </row>
    <row r="57" spans="1:24" x14ac:dyDescent="0.25">
      <c r="A57" s="42" t="s">
        <v>112</v>
      </c>
      <c r="B57" s="66" t="s">
        <v>112</v>
      </c>
      <c r="C57" s="44">
        <v>-420.08604856752129</v>
      </c>
      <c r="D57" s="45">
        <v>-444.14400000000001</v>
      </c>
      <c r="E57" s="45">
        <v>5.7269103590836895E-2</v>
      </c>
      <c r="F57" s="45">
        <v>5.4167007620228386E-2</v>
      </c>
      <c r="G57" s="66" t="s">
        <v>182</v>
      </c>
      <c r="H57" s="50" t="s">
        <v>387</v>
      </c>
      <c r="I57" s="50" t="s">
        <v>387</v>
      </c>
      <c r="J57" s="66" t="s">
        <v>182</v>
      </c>
      <c r="K57" s="50" t="s">
        <v>387</v>
      </c>
      <c r="L57" s="50" t="s">
        <v>387</v>
      </c>
      <c r="M57" s="44">
        <v>6.679443501203552E-14</v>
      </c>
      <c r="N57" s="46">
        <v>0</v>
      </c>
      <c r="O57" s="56">
        <v>14971307112931.574</v>
      </c>
      <c r="P57" s="45">
        <v>0.99999999999993316</v>
      </c>
      <c r="Q57" s="66" t="s">
        <v>182</v>
      </c>
      <c r="R57" s="50" t="s">
        <v>387</v>
      </c>
      <c r="S57" s="50" t="s">
        <v>387</v>
      </c>
      <c r="T57" s="66" t="s">
        <v>182</v>
      </c>
      <c r="U57" s="50" t="s">
        <v>387</v>
      </c>
      <c r="V57" s="50" t="s">
        <v>387</v>
      </c>
      <c r="W57" s="44" t="s">
        <v>167</v>
      </c>
      <c r="X57" s="66" t="s">
        <v>182</v>
      </c>
    </row>
    <row r="58" spans="1:24" x14ac:dyDescent="0.25">
      <c r="A58" s="42" t="s">
        <v>129</v>
      </c>
      <c r="B58" s="66" t="s">
        <v>129</v>
      </c>
      <c r="C58" s="44">
        <v>-4.3015639234800407</v>
      </c>
      <c r="D58" s="45">
        <v>-7.32</v>
      </c>
      <c r="E58" s="45">
        <v>0.70170666534649373</v>
      </c>
      <c r="F58" s="45">
        <v>0.41235465526228954</v>
      </c>
      <c r="G58" s="66" t="s">
        <v>182</v>
      </c>
      <c r="H58" s="50" t="s">
        <v>387</v>
      </c>
      <c r="I58" s="50" t="s">
        <v>387</v>
      </c>
      <c r="J58" s="66" t="s">
        <v>182</v>
      </c>
      <c r="K58" s="50" t="s">
        <v>387</v>
      </c>
      <c r="L58" s="50" t="s">
        <v>387</v>
      </c>
      <c r="M58" s="44">
        <v>-15.308121161010677</v>
      </c>
      <c r="N58" s="45">
        <v>-20.568000000000001</v>
      </c>
      <c r="O58" s="45">
        <v>0.34360054925525918</v>
      </c>
      <c r="P58" s="45">
        <v>0.25573117653584815</v>
      </c>
      <c r="Q58" s="66" t="s">
        <v>182</v>
      </c>
      <c r="R58" s="50" t="s">
        <v>387</v>
      </c>
      <c r="S58" s="50" t="s">
        <v>387</v>
      </c>
      <c r="T58" s="66" t="s">
        <v>182</v>
      </c>
      <c r="U58" s="50" t="s">
        <v>387</v>
      </c>
      <c r="V58" s="50" t="s">
        <v>387</v>
      </c>
      <c r="W58" s="44" t="s">
        <v>167</v>
      </c>
      <c r="X58" s="66" t="s">
        <v>182</v>
      </c>
    </row>
    <row r="59" spans="1:24" x14ac:dyDescent="0.25">
      <c r="A59" s="42" t="s">
        <v>119</v>
      </c>
      <c r="B59" s="66" t="s">
        <v>119</v>
      </c>
      <c r="C59" s="44">
        <v>-15.007182717960076</v>
      </c>
      <c r="D59" s="45">
        <v>-14.544</v>
      </c>
      <c r="E59" s="45">
        <v>3.0864068670647567E-2</v>
      </c>
      <c r="F59" s="45">
        <v>3.184699655941111E-2</v>
      </c>
      <c r="G59" s="66" t="s">
        <v>182</v>
      </c>
      <c r="H59" s="50" t="s">
        <v>387</v>
      </c>
      <c r="I59" s="50" t="s">
        <v>387</v>
      </c>
      <c r="J59" s="66" t="s">
        <v>182</v>
      </c>
      <c r="K59" s="50" t="s">
        <v>387</v>
      </c>
      <c r="L59" s="50" t="s">
        <v>387</v>
      </c>
      <c r="M59" s="44">
        <v>-16.507735240740118</v>
      </c>
      <c r="N59" s="45">
        <v>-18.059999999999999</v>
      </c>
      <c r="O59" s="45">
        <v>9.4032569375657474E-2</v>
      </c>
      <c r="P59" s="45">
        <v>8.5950429637867157E-2</v>
      </c>
      <c r="Q59" s="66" t="s">
        <v>182</v>
      </c>
      <c r="R59" s="50" t="s">
        <v>387</v>
      </c>
      <c r="S59" s="50" t="s">
        <v>387</v>
      </c>
      <c r="T59" s="66" t="s">
        <v>182</v>
      </c>
      <c r="U59" s="50" t="s">
        <v>387</v>
      </c>
      <c r="V59" s="50" t="s">
        <v>387</v>
      </c>
      <c r="W59" s="44" t="s">
        <v>167</v>
      </c>
      <c r="X59" s="66" t="s">
        <v>182</v>
      </c>
    </row>
    <row r="60" spans="1:24" x14ac:dyDescent="0.25">
      <c r="A60" s="42" t="s">
        <v>115</v>
      </c>
      <c r="B60" s="66" t="s">
        <v>115</v>
      </c>
      <c r="C60" s="44">
        <v>-972.40000000000168</v>
      </c>
      <c r="D60" s="45">
        <v>-972.4</v>
      </c>
      <c r="E60" s="45">
        <v>1.7537048188237737E-15</v>
      </c>
      <c r="F60" s="45">
        <v>1.7537048188237766E-15</v>
      </c>
      <c r="G60" s="66" t="s">
        <v>182</v>
      </c>
      <c r="H60" s="50" t="s">
        <v>387</v>
      </c>
      <c r="I60" s="50" t="s">
        <v>387</v>
      </c>
      <c r="J60" s="66" t="s">
        <v>182</v>
      </c>
      <c r="K60" s="50" t="s">
        <v>387</v>
      </c>
      <c r="L60" s="50" t="s">
        <v>387</v>
      </c>
      <c r="M60" s="44">
        <v>213.50000000000031</v>
      </c>
      <c r="N60" s="45">
        <v>213.5</v>
      </c>
      <c r="O60" s="45">
        <v>1.4643503687795955E-15</v>
      </c>
      <c r="P60" s="45">
        <v>1.4643503687795976E-15</v>
      </c>
      <c r="Q60" s="66" t="s">
        <v>182</v>
      </c>
      <c r="R60" s="50" t="s">
        <v>387</v>
      </c>
      <c r="S60" s="50" t="s">
        <v>387</v>
      </c>
      <c r="T60" s="66" t="s">
        <v>182</v>
      </c>
      <c r="U60" s="50" t="s">
        <v>387</v>
      </c>
      <c r="V60" s="50" t="s">
        <v>387</v>
      </c>
      <c r="W60" s="44" t="s">
        <v>167</v>
      </c>
      <c r="X60" s="66" t="s">
        <v>182</v>
      </c>
    </row>
    <row r="61" spans="1:24" x14ac:dyDescent="0.25">
      <c r="A61" s="42" t="s">
        <v>121</v>
      </c>
      <c r="B61" s="66" t="s">
        <v>121</v>
      </c>
      <c r="C61" s="44">
        <v>-4.6236067869004502</v>
      </c>
      <c r="D61" s="45">
        <v>-4.944</v>
      </c>
      <c r="E61" s="45">
        <v>6.9295082360222346E-2</v>
      </c>
      <c r="F61" s="45">
        <v>6.4804452487773001E-2</v>
      </c>
      <c r="G61" s="66" t="s">
        <v>182</v>
      </c>
      <c r="H61" s="50" t="s">
        <v>387</v>
      </c>
      <c r="I61" s="50" t="s">
        <v>387</v>
      </c>
      <c r="J61" s="66" t="s">
        <v>182</v>
      </c>
      <c r="K61" s="50" t="s">
        <v>387</v>
      </c>
      <c r="L61" s="50" t="s">
        <v>387</v>
      </c>
      <c r="M61" s="44">
        <v>-47.385536857080098</v>
      </c>
      <c r="N61" s="45">
        <v>-25.367999999999999</v>
      </c>
      <c r="O61" s="45">
        <v>0.46464677446806968</v>
      </c>
      <c r="P61" s="45">
        <v>0.86792560931410045</v>
      </c>
      <c r="Q61" s="66" t="s">
        <v>182</v>
      </c>
      <c r="R61" s="50" t="s">
        <v>387</v>
      </c>
      <c r="S61" s="50" t="s">
        <v>387</v>
      </c>
      <c r="T61" s="66" t="s">
        <v>182</v>
      </c>
      <c r="U61" s="50" t="s">
        <v>387</v>
      </c>
      <c r="V61" s="50" t="s">
        <v>387</v>
      </c>
      <c r="W61" s="44" t="s">
        <v>167</v>
      </c>
      <c r="X61" s="66" t="s">
        <v>182</v>
      </c>
    </row>
    <row r="62" spans="1:24" x14ac:dyDescent="0.25">
      <c r="A62" s="42" t="s">
        <v>113</v>
      </c>
      <c r="B62" s="66" t="s">
        <v>113</v>
      </c>
      <c r="C62" s="44">
        <v>-543.07988659169996</v>
      </c>
      <c r="D62" s="45">
        <v>-627.12</v>
      </c>
      <c r="E62" s="45">
        <v>0.15474723973985682</v>
      </c>
      <c r="F62" s="45">
        <v>0.13400962081946047</v>
      </c>
      <c r="G62" s="66" t="s">
        <v>182</v>
      </c>
      <c r="H62" s="50" t="s">
        <v>387</v>
      </c>
      <c r="I62" s="50" t="s">
        <v>387</v>
      </c>
      <c r="J62" s="66" t="s">
        <v>182</v>
      </c>
      <c r="K62" s="50" t="s">
        <v>387</v>
      </c>
      <c r="L62" s="50" t="s">
        <v>387</v>
      </c>
      <c r="M62" s="44">
        <v>37.50660800729996</v>
      </c>
      <c r="N62" s="62">
        <v>0</v>
      </c>
      <c r="O62" s="45">
        <v>0.97333803153286036</v>
      </c>
      <c r="P62" s="63">
        <v>36.50660800729996</v>
      </c>
      <c r="Q62" s="66" t="s">
        <v>182</v>
      </c>
      <c r="R62" s="50" t="s">
        <v>387</v>
      </c>
      <c r="S62" s="50" t="s">
        <v>387</v>
      </c>
      <c r="T62" s="66" t="s">
        <v>182</v>
      </c>
      <c r="U62" s="50" t="s">
        <v>387</v>
      </c>
      <c r="V62" s="50" t="s">
        <v>387</v>
      </c>
      <c r="W62" s="44" t="s">
        <v>167</v>
      </c>
      <c r="X62" s="66" t="s">
        <v>182</v>
      </c>
    </row>
    <row r="63" spans="1:24" x14ac:dyDescent="0.25">
      <c r="A63" s="42" t="s">
        <v>168</v>
      </c>
      <c r="B63" s="66" t="s">
        <v>168</v>
      </c>
      <c r="C63" s="44">
        <v>-50</v>
      </c>
      <c r="D63" s="45">
        <v>-50</v>
      </c>
      <c r="E63" s="45">
        <v>0</v>
      </c>
      <c r="F63" s="45">
        <v>0</v>
      </c>
      <c r="G63" s="66" t="s">
        <v>182</v>
      </c>
      <c r="H63" s="50" t="s">
        <v>387</v>
      </c>
      <c r="I63" s="50" t="s">
        <v>387</v>
      </c>
      <c r="J63" s="66" t="s">
        <v>182</v>
      </c>
      <c r="K63" s="50" t="s">
        <v>387</v>
      </c>
      <c r="L63" s="50" t="s">
        <v>387</v>
      </c>
      <c r="M63" s="44">
        <v>0</v>
      </c>
      <c r="N63" s="45">
        <v>0</v>
      </c>
      <c r="O63" s="45">
        <v>0</v>
      </c>
      <c r="P63" s="45">
        <v>0</v>
      </c>
      <c r="Q63" s="66" t="s">
        <v>182</v>
      </c>
      <c r="R63" s="50" t="s">
        <v>387</v>
      </c>
      <c r="S63" s="50" t="s">
        <v>387</v>
      </c>
      <c r="T63" s="66" t="s">
        <v>182</v>
      </c>
      <c r="U63" s="50" t="s">
        <v>387</v>
      </c>
      <c r="V63" s="50" t="s">
        <v>387</v>
      </c>
      <c r="W63" s="44" t="s">
        <v>167</v>
      </c>
      <c r="X63" s="66" t="s">
        <v>182</v>
      </c>
    </row>
    <row r="64" spans="1:24" x14ac:dyDescent="0.25">
      <c r="A64" s="42" t="s">
        <v>120</v>
      </c>
      <c r="B64" s="66" t="s">
        <v>120</v>
      </c>
      <c r="C64" s="44">
        <v>-289.49778763091996</v>
      </c>
      <c r="D64" s="45">
        <v>-297.39600000000002</v>
      </c>
      <c r="E64" s="45">
        <v>2.7282461927306569E-2</v>
      </c>
      <c r="F64" s="45">
        <v>2.6557897110519497E-2</v>
      </c>
      <c r="G64" s="66" t="s">
        <v>182</v>
      </c>
      <c r="H64" s="50" t="s">
        <v>387</v>
      </c>
      <c r="I64" s="50" t="s">
        <v>387</v>
      </c>
      <c r="J64" s="66" t="s">
        <v>182</v>
      </c>
      <c r="K64" s="50" t="s">
        <v>387</v>
      </c>
      <c r="L64" s="50" t="s">
        <v>387</v>
      </c>
      <c r="M64" s="44">
        <v>23.705398787490093</v>
      </c>
      <c r="N64" s="62">
        <v>0</v>
      </c>
      <c r="O64" s="45">
        <v>0.95781551666923559</v>
      </c>
      <c r="P64" s="63">
        <v>22.705398787490093</v>
      </c>
      <c r="Q64" s="66" t="s">
        <v>182</v>
      </c>
      <c r="R64" s="50" t="s">
        <v>387</v>
      </c>
      <c r="S64" s="50" t="s">
        <v>387</v>
      </c>
      <c r="T64" s="66" t="s">
        <v>182</v>
      </c>
      <c r="U64" s="50" t="s">
        <v>387</v>
      </c>
      <c r="V64" s="50" t="s">
        <v>387</v>
      </c>
      <c r="W64" s="44" t="s">
        <v>167</v>
      </c>
      <c r="X64" s="66" t="s">
        <v>182</v>
      </c>
    </row>
    <row r="65" spans="1:24" x14ac:dyDescent="0.25">
      <c r="A65" s="42" t="s">
        <v>161</v>
      </c>
      <c r="B65" s="66" t="s">
        <v>161</v>
      </c>
      <c r="C65" s="44">
        <v>-83.517724718759951</v>
      </c>
      <c r="D65" s="45">
        <v>-42.384</v>
      </c>
      <c r="E65" s="45">
        <v>0.49251491054473606</v>
      </c>
      <c r="F65" s="45">
        <v>0.97050124383635217</v>
      </c>
      <c r="G65" s="66" t="s">
        <v>182</v>
      </c>
      <c r="H65" s="50" t="s">
        <v>387</v>
      </c>
      <c r="I65" s="50" t="s">
        <v>387</v>
      </c>
      <c r="J65" s="66" t="s">
        <v>182</v>
      </c>
      <c r="K65" s="50" t="s">
        <v>387</v>
      </c>
      <c r="L65" s="50" t="s">
        <v>387</v>
      </c>
      <c r="M65" s="44">
        <v>-201.62999999999982</v>
      </c>
      <c r="N65" s="45">
        <v>-201.63</v>
      </c>
      <c r="O65" s="45">
        <v>8.4575835234054554E-16</v>
      </c>
      <c r="P65" s="45">
        <v>8.4575835234054485E-16</v>
      </c>
      <c r="Q65" s="66" t="s">
        <v>182</v>
      </c>
      <c r="R65" s="50" t="s">
        <v>387</v>
      </c>
      <c r="S65" s="50" t="s">
        <v>387</v>
      </c>
      <c r="T65" s="66" t="s">
        <v>182</v>
      </c>
      <c r="U65" s="50" t="s">
        <v>387</v>
      </c>
      <c r="V65" s="50" t="s">
        <v>387</v>
      </c>
      <c r="W65" s="44" t="s">
        <v>164</v>
      </c>
      <c r="X65" s="66" t="s">
        <v>182</v>
      </c>
    </row>
    <row r="66" spans="1:24" x14ac:dyDescent="0.25">
      <c r="A66" s="42" t="s">
        <v>160</v>
      </c>
      <c r="B66" s="66" t="s">
        <v>160</v>
      </c>
      <c r="C66" s="44">
        <v>-165.10999999999987</v>
      </c>
      <c r="D66" s="45">
        <v>-165.11</v>
      </c>
      <c r="E66" s="45">
        <v>8.6069012871431259E-16</v>
      </c>
      <c r="F66" s="45">
        <v>8.606901287143118E-16</v>
      </c>
      <c r="G66" s="66" t="s">
        <v>182</v>
      </c>
      <c r="H66" s="50" t="s">
        <v>387</v>
      </c>
      <c r="I66" s="50" t="s">
        <v>387</v>
      </c>
      <c r="J66" s="66" t="s">
        <v>182</v>
      </c>
      <c r="K66" s="50" t="s">
        <v>387</v>
      </c>
      <c r="L66" s="50" t="s">
        <v>387</v>
      </c>
      <c r="M66" s="44">
        <v>-4.0394097355320211</v>
      </c>
      <c r="N66" s="45">
        <v>-4.2960000000000003</v>
      </c>
      <c r="O66" s="45">
        <v>6.352172254548083E-2</v>
      </c>
      <c r="P66" s="45">
        <v>5.9727715192732581E-2</v>
      </c>
      <c r="Q66" s="66" t="s">
        <v>182</v>
      </c>
      <c r="R66" s="50" t="s">
        <v>387</v>
      </c>
      <c r="S66" s="50" t="s">
        <v>387</v>
      </c>
      <c r="T66" s="66" t="s">
        <v>182</v>
      </c>
      <c r="U66" s="50" t="s">
        <v>387</v>
      </c>
      <c r="V66" s="50" t="s">
        <v>387</v>
      </c>
      <c r="W66" s="44" t="s">
        <v>164</v>
      </c>
      <c r="X66" s="66" t="s">
        <v>182</v>
      </c>
    </row>
    <row r="67" spans="1:24" x14ac:dyDescent="0.25">
      <c r="A67" s="42" t="s">
        <v>159</v>
      </c>
      <c r="B67" s="66" t="s">
        <v>159</v>
      </c>
      <c r="C67" s="44">
        <v>-2.3540000000000303</v>
      </c>
      <c r="D67" s="45">
        <v>-2.3540000000000001</v>
      </c>
      <c r="E67" s="45">
        <v>1.2828405382244635E-14</v>
      </c>
      <c r="F67" s="45">
        <v>1.2828405382244799E-14</v>
      </c>
      <c r="G67" s="66" t="s">
        <v>182</v>
      </c>
      <c r="H67" s="50" t="s">
        <v>387</v>
      </c>
      <c r="I67" s="50" t="s">
        <v>387</v>
      </c>
      <c r="J67" s="66" t="s">
        <v>182</v>
      </c>
      <c r="K67" s="50" t="s">
        <v>387</v>
      </c>
      <c r="L67" s="50" t="s">
        <v>387</v>
      </c>
      <c r="M67" s="44">
        <v>-0.24999515388657259</v>
      </c>
      <c r="N67" s="45">
        <v>-0.25</v>
      </c>
      <c r="O67" s="45">
        <v>1.9384829473966204E-5</v>
      </c>
      <c r="P67" s="45">
        <v>1.9384453709636595E-5</v>
      </c>
      <c r="Q67" s="66" t="s">
        <v>182</v>
      </c>
      <c r="R67" s="50" t="s">
        <v>387</v>
      </c>
      <c r="S67" s="50" t="s">
        <v>387</v>
      </c>
      <c r="T67" s="66" t="s">
        <v>182</v>
      </c>
      <c r="U67" s="50" t="s">
        <v>387</v>
      </c>
      <c r="V67" s="50" t="s">
        <v>387</v>
      </c>
      <c r="W67" s="44" t="s">
        <v>164</v>
      </c>
      <c r="X67" s="66" t="s">
        <v>182</v>
      </c>
    </row>
    <row r="68" spans="1:24" x14ac:dyDescent="0.25">
      <c r="A68" s="42" t="s">
        <v>158</v>
      </c>
      <c r="B68" s="66" t="s">
        <v>158</v>
      </c>
      <c r="C68" s="44">
        <v>-3.76933864812611</v>
      </c>
      <c r="D68" s="45">
        <v>-3.355</v>
      </c>
      <c r="E68" s="45">
        <v>0.10992343400402466</v>
      </c>
      <c r="F68" s="45">
        <v>0.12349885190047988</v>
      </c>
      <c r="G68" s="66" t="s">
        <v>182</v>
      </c>
      <c r="H68" s="50" t="s">
        <v>387</v>
      </c>
      <c r="I68" s="50" t="s">
        <v>387</v>
      </c>
      <c r="J68" s="66" t="s">
        <v>182</v>
      </c>
      <c r="K68" s="50" t="s">
        <v>387</v>
      </c>
      <c r="L68" s="50" t="s">
        <v>387</v>
      </c>
      <c r="M68" s="44">
        <v>-1.7383310042580127</v>
      </c>
      <c r="N68" s="45">
        <v>-2.4089999999999998</v>
      </c>
      <c r="O68" s="45">
        <v>0.38581201974721424</v>
      </c>
      <c r="P68" s="45">
        <v>0.27840140960647042</v>
      </c>
      <c r="Q68" s="66" t="s">
        <v>182</v>
      </c>
      <c r="R68" s="50" t="s">
        <v>387</v>
      </c>
      <c r="S68" s="50" t="s">
        <v>387</v>
      </c>
      <c r="T68" s="66" t="s">
        <v>182</v>
      </c>
      <c r="U68" s="50" t="s">
        <v>387</v>
      </c>
      <c r="V68" s="50" t="s">
        <v>387</v>
      </c>
      <c r="W68" s="44" t="s">
        <v>164</v>
      </c>
      <c r="X68" s="66" t="s">
        <v>182</v>
      </c>
    </row>
    <row r="69" spans="1:24" x14ac:dyDescent="0.25">
      <c r="A69" s="42" t="s">
        <v>162</v>
      </c>
      <c r="B69" s="66" t="s">
        <v>162</v>
      </c>
      <c r="C69" s="44">
        <v>-8.3333300000000001</v>
      </c>
      <c r="D69" s="45">
        <v>-8.3333300000000001</v>
      </c>
      <c r="E69" s="45">
        <v>0</v>
      </c>
      <c r="F69" s="45">
        <v>0</v>
      </c>
      <c r="G69" s="66" t="s">
        <v>182</v>
      </c>
      <c r="H69" s="50" t="s">
        <v>387</v>
      </c>
      <c r="I69" s="50" t="s">
        <v>387</v>
      </c>
      <c r="J69" s="66" t="s">
        <v>182</v>
      </c>
      <c r="K69" s="50" t="s">
        <v>387</v>
      </c>
      <c r="L69" s="50" t="s">
        <v>387</v>
      </c>
      <c r="M69" s="44">
        <v>5</v>
      </c>
      <c r="N69" s="45">
        <v>5</v>
      </c>
      <c r="O69" s="45">
        <v>0</v>
      </c>
      <c r="P69" s="45">
        <v>0</v>
      </c>
      <c r="Q69" s="66" t="s">
        <v>182</v>
      </c>
      <c r="R69" s="50" t="s">
        <v>387</v>
      </c>
      <c r="S69" s="50" t="s">
        <v>387</v>
      </c>
      <c r="T69" s="66" t="s">
        <v>182</v>
      </c>
      <c r="U69" s="50" t="s">
        <v>387</v>
      </c>
      <c r="V69" s="50" t="s">
        <v>387</v>
      </c>
      <c r="W69" s="44" t="s">
        <v>164</v>
      </c>
      <c r="X69" s="66" t="s">
        <v>182</v>
      </c>
    </row>
    <row r="70" spans="1:24" x14ac:dyDescent="0.25">
      <c r="A70" s="42" t="s">
        <v>83</v>
      </c>
      <c r="B70" s="66" t="s">
        <v>83</v>
      </c>
      <c r="C70" s="44">
        <v>31.243921815304578</v>
      </c>
      <c r="D70" s="46">
        <v>7.38</v>
      </c>
      <c r="E70" s="45">
        <v>0.76379405749296914</v>
      </c>
      <c r="F70" s="47">
        <v>3.2335937419111898</v>
      </c>
      <c r="G70" s="66" t="s">
        <v>182</v>
      </c>
      <c r="H70" s="50" t="s">
        <v>387</v>
      </c>
      <c r="I70" s="50" t="s">
        <v>387</v>
      </c>
      <c r="J70" s="66" t="s">
        <v>182</v>
      </c>
      <c r="K70" s="50" t="s">
        <v>387</v>
      </c>
      <c r="L70" s="50" t="s">
        <v>387</v>
      </c>
      <c r="M70" s="44">
        <v>-57.778016449217674</v>
      </c>
      <c r="N70" s="45">
        <v>-24.97</v>
      </c>
      <c r="O70" s="45">
        <v>0.56782870831250043</v>
      </c>
      <c r="P70" s="45">
        <v>1.3138973347704315</v>
      </c>
      <c r="Q70" s="66" t="s">
        <v>182</v>
      </c>
      <c r="R70" s="50" t="s">
        <v>387</v>
      </c>
      <c r="S70" s="50" t="s">
        <v>387</v>
      </c>
      <c r="T70" s="66" t="s">
        <v>182</v>
      </c>
      <c r="U70" s="50" t="s">
        <v>387</v>
      </c>
      <c r="V70" s="50" t="s">
        <v>387</v>
      </c>
      <c r="W70" s="44" t="s">
        <v>163</v>
      </c>
      <c r="X70" s="66">
        <v>1.585</v>
      </c>
    </row>
    <row r="71" spans="1:24" x14ac:dyDescent="0.25">
      <c r="A71" s="42" t="s">
        <v>84</v>
      </c>
      <c r="B71" s="66" t="s">
        <v>84</v>
      </c>
      <c r="C71" s="44">
        <v>-4.7592035163558091</v>
      </c>
      <c r="D71" s="45">
        <v>-5.3999000000000006</v>
      </c>
      <c r="E71" s="45">
        <v>0.13462262780785261</v>
      </c>
      <c r="F71" s="45">
        <v>0.1186496941877056</v>
      </c>
      <c r="G71" s="66" t="s">
        <v>182</v>
      </c>
      <c r="H71" s="50" t="s">
        <v>387</v>
      </c>
      <c r="I71" s="50" t="s">
        <v>387</v>
      </c>
      <c r="J71" s="66" t="s">
        <v>182</v>
      </c>
      <c r="K71" s="50" t="s">
        <v>387</v>
      </c>
      <c r="L71" s="50" t="s">
        <v>387</v>
      </c>
      <c r="M71" s="44">
        <v>-6.1415777088509831</v>
      </c>
      <c r="N71" s="45">
        <v>-5.2778</v>
      </c>
      <c r="O71" s="45">
        <v>0.1406442692414594</v>
      </c>
      <c r="P71" s="45">
        <v>0.16366245572984633</v>
      </c>
      <c r="Q71" s="66" t="s">
        <v>182</v>
      </c>
      <c r="R71" s="50" t="s">
        <v>387</v>
      </c>
      <c r="S71" s="50" t="s">
        <v>387</v>
      </c>
      <c r="T71" s="66" t="s">
        <v>182</v>
      </c>
      <c r="U71" s="50" t="s">
        <v>387</v>
      </c>
      <c r="V71" s="50" t="s">
        <v>387</v>
      </c>
      <c r="W71" s="44" t="s">
        <v>163</v>
      </c>
      <c r="X71" s="66" t="s">
        <v>182</v>
      </c>
    </row>
    <row r="72" spans="1:24" x14ac:dyDescent="0.25">
      <c r="A72" s="42" t="s">
        <v>85</v>
      </c>
      <c r="B72" s="66" t="s">
        <v>85</v>
      </c>
      <c r="C72" s="44">
        <v>-78.697707170173089</v>
      </c>
      <c r="D72" s="45">
        <v>-74.965000000000003</v>
      </c>
      <c r="E72" s="45">
        <v>4.7430951985699077E-2</v>
      </c>
      <c r="F72" s="45">
        <v>4.9792665512880488E-2</v>
      </c>
      <c r="G72" s="66" t="s">
        <v>182</v>
      </c>
      <c r="H72" s="50" t="s">
        <v>387</v>
      </c>
      <c r="I72" s="50" t="s">
        <v>387</v>
      </c>
      <c r="J72" s="66" t="s">
        <v>182</v>
      </c>
      <c r="K72" s="50" t="s">
        <v>387</v>
      </c>
      <c r="L72" s="50" t="s">
        <v>387</v>
      </c>
      <c r="M72" s="44">
        <v>-153.33965847479357</v>
      </c>
      <c r="N72" s="45">
        <v>-148.98400000000001</v>
      </c>
      <c r="O72" s="45">
        <v>2.8405296569181764E-2</v>
      </c>
      <c r="P72" s="45">
        <v>2.9235746622412857E-2</v>
      </c>
      <c r="Q72" s="66" t="s">
        <v>182</v>
      </c>
      <c r="R72" s="50" t="s">
        <v>387</v>
      </c>
      <c r="S72" s="50" t="s">
        <v>387</v>
      </c>
      <c r="T72" s="66" t="s">
        <v>182</v>
      </c>
      <c r="U72" s="50" t="s">
        <v>387</v>
      </c>
      <c r="V72" s="50" t="s">
        <v>387</v>
      </c>
      <c r="W72" s="44" t="s">
        <v>163</v>
      </c>
      <c r="X72" s="66" t="s">
        <v>182</v>
      </c>
    </row>
    <row r="73" spans="1:24" x14ac:dyDescent="0.25">
      <c r="A73" s="42" t="s">
        <v>86</v>
      </c>
      <c r="B73" s="66" t="s">
        <v>86</v>
      </c>
      <c r="C73" s="44">
        <v>5.9484351024767488</v>
      </c>
      <c r="D73" s="45">
        <v>-6.1589000000000009</v>
      </c>
      <c r="E73" s="45">
        <v>2.0353815573167506</v>
      </c>
      <c r="F73" s="45">
        <v>1.9658275183030651</v>
      </c>
      <c r="G73" s="66" t="s">
        <v>182</v>
      </c>
      <c r="H73" s="50" t="s">
        <v>387</v>
      </c>
      <c r="I73" s="50" t="s">
        <v>387</v>
      </c>
      <c r="J73" s="66" t="s">
        <v>182</v>
      </c>
      <c r="K73" s="50" t="s">
        <v>387</v>
      </c>
      <c r="L73" s="50" t="s">
        <v>387</v>
      </c>
      <c r="M73" s="44">
        <v>-24.116401550850444</v>
      </c>
      <c r="N73" s="45">
        <v>-9.6899000000000015</v>
      </c>
      <c r="O73" s="45">
        <v>0.59820290852395863</v>
      </c>
      <c r="P73" s="45">
        <v>1.4888184141064862</v>
      </c>
      <c r="Q73" s="66" t="s">
        <v>182</v>
      </c>
      <c r="R73" s="50" t="s">
        <v>387</v>
      </c>
      <c r="S73" s="50" t="s">
        <v>387</v>
      </c>
      <c r="T73" s="66" t="s">
        <v>182</v>
      </c>
      <c r="U73" s="50" t="s">
        <v>387</v>
      </c>
      <c r="V73" s="50" t="s">
        <v>387</v>
      </c>
      <c r="W73" s="44" t="s">
        <v>163</v>
      </c>
      <c r="X73" s="66" t="s">
        <v>182</v>
      </c>
    </row>
    <row r="74" spans="1:24" x14ac:dyDescent="0.25">
      <c r="A74" s="42" t="s">
        <v>87</v>
      </c>
      <c r="B74" s="66" t="s">
        <v>87</v>
      </c>
      <c r="C74" s="44">
        <v>-1.7763351332936912</v>
      </c>
      <c r="D74" s="45">
        <v>-3.1592000000000002</v>
      </c>
      <c r="E74" s="45">
        <v>0.77849322506062957</v>
      </c>
      <c r="F74" s="45">
        <v>0.43772628092754778</v>
      </c>
      <c r="G74" s="66" t="s">
        <v>182</v>
      </c>
      <c r="H74" s="50" t="s">
        <v>387</v>
      </c>
      <c r="I74" s="50" t="s">
        <v>387</v>
      </c>
      <c r="J74" s="66" t="s">
        <v>182</v>
      </c>
      <c r="K74" s="50" t="s">
        <v>387</v>
      </c>
      <c r="L74" s="50" t="s">
        <v>387</v>
      </c>
      <c r="M74" s="44">
        <v>-8.1103526720492525</v>
      </c>
      <c r="N74" s="45">
        <v>-6.2777000000000003</v>
      </c>
      <c r="O74" s="45">
        <v>0.22596460920437306</v>
      </c>
      <c r="P74" s="45">
        <v>0.29193059114791281</v>
      </c>
      <c r="Q74" s="66" t="s">
        <v>182</v>
      </c>
      <c r="R74" s="50" t="s">
        <v>387</v>
      </c>
      <c r="S74" s="50" t="s">
        <v>387</v>
      </c>
      <c r="T74" s="66" t="s">
        <v>182</v>
      </c>
      <c r="U74" s="50" t="s">
        <v>387</v>
      </c>
      <c r="V74" s="50" t="s">
        <v>387</v>
      </c>
      <c r="W74" s="44" t="s">
        <v>163</v>
      </c>
      <c r="X74" s="66" t="s">
        <v>182</v>
      </c>
    </row>
    <row r="75" spans="1:24" x14ac:dyDescent="0.25">
      <c r="A75" s="42" t="s">
        <v>88</v>
      </c>
      <c r="B75" s="66" t="s">
        <v>88</v>
      </c>
      <c r="C75" s="44">
        <v>21.484042681987063</v>
      </c>
      <c r="D75" s="45">
        <v>-18.809999999999999</v>
      </c>
      <c r="E75" s="45">
        <v>1.875533542659126</v>
      </c>
      <c r="F75" s="45">
        <v>2.1421606954804395</v>
      </c>
      <c r="G75" s="66" t="s">
        <v>182</v>
      </c>
      <c r="H75" s="50" t="s">
        <v>387</v>
      </c>
      <c r="I75" s="50" t="s">
        <v>387</v>
      </c>
      <c r="J75" s="66" t="s">
        <v>182</v>
      </c>
      <c r="K75" s="50" t="s">
        <v>387</v>
      </c>
      <c r="L75" s="50" t="s">
        <v>387</v>
      </c>
      <c r="M75" s="44">
        <v>-70.821093734972578</v>
      </c>
      <c r="N75" s="46">
        <v>-17.16</v>
      </c>
      <c r="O75" s="45">
        <v>0.75769930828495358</v>
      </c>
      <c r="P75" s="47">
        <v>3.1271033645088915</v>
      </c>
      <c r="Q75" s="66" t="s">
        <v>182</v>
      </c>
      <c r="R75" s="50" t="s">
        <v>387</v>
      </c>
      <c r="S75" s="50" t="s">
        <v>387</v>
      </c>
      <c r="T75" s="66" t="s">
        <v>182</v>
      </c>
      <c r="U75" s="50" t="s">
        <v>387</v>
      </c>
      <c r="V75" s="50" t="s">
        <v>387</v>
      </c>
      <c r="W75" s="44" t="s">
        <v>163</v>
      </c>
      <c r="X75" s="66" t="s">
        <v>182</v>
      </c>
    </row>
    <row r="76" spans="1:24" x14ac:dyDescent="0.25">
      <c r="A76" s="42" t="s">
        <v>89</v>
      </c>
      <c r="B76" s="66" t="s">
        <v>89</v>
      </c>
      <c r="C76" s="44">
        <v>-19.544833028587423</v>
      </c>
      <c r="D76" s="62">
        <v>-2.1164000000000001</v>
      </c>
      <c r="E76" s="45">
        <v>0.89171562648274216</v>
      </c>
      <c r="F76" s="63">
        <v>8.2349428409503993</v>
      </c>
      <c r="G76" s="66" t="s">
        <v>182</v>
      </c>
      <c r="H76" s="50" t="s">
        <v>387</v>
      </c>
      <c r="I76" s="50" t="s">
        <v>387</v>
      </c>
      <c r="J76" s="66" t="s">
        <v>182</v>
      </c>
      <c r="K76" s="50" t="s">
        <v>387</v>
      </c>
      <c r="L76" s="50" t="s">
        <v>387</v>
      </c>
      <c r="M76" s="44">
        <v>-22.235761236247168</v>
      </c>
      <c r="N76" s="45">
        <v>-37.634300000000003</v>
      </c>
      <c r="O76" s="45">
        <v>0.69251232733382773</v>
      </c>
      <c r="P76" s="45">
        <v>0.40916235359108138</v>
      </c>
      <c r="Q76" s="66" t="s">
        <v>182</v>
      </c>
      <c r="R76" s="50" t="s">
        <v>387</v>
      </c>
      <c r="S76" s="50" t="s">
        <v>387</v>
      </c>
      <c r="T76" s="66" t="s">
        <v>182</v>
      </c>
      <c r="U76" s="50" t="s">
        <v>387</v>
      </c>
      <c r="V76" s="50" t="s">
        <v>387</v>
      </c>
      <c r="W76" s="44" t="s">
        <v>163</v>
      </c>
      <c r="X76" s="66">
        <v>1.548</v>
      </c>
    </row>
    <row r="77" spans="1:24" x14ac:dyDescent="0.25">
      <c r="A77" s="42" t="s">
        <v>90</v>
      </c>
      <c r="B77" s="66" t="s">
        <v>90</v>
      </c>
      <c r="C77" s="44">
        <v>6.5396078135198682E-2</v>
      </c>
      <c r="D77" s="46">
        <v>-1.9646000000000001</v>
      </c>
      <c r="E77" s="47">
        <v>31.041556864288118</v>
      </c>
      <c r="F77" s="45">
        <v>1.0332872229131624</v>
      </c>
      <c r="G77" s="66" t="s">
        <v>182</v>
      </c>
      <c r="H77" s="50" t="s">
        <v>387</v>
      </c>
      <c r="I77" s="50" t="s">
        <v>387</v>
      </c>
      <c r="J77" s="66" t="s">
        <v>182</v>
      </c>
      <c r="K77" s="50" t="s">
        <v>387</v>
      </c>
      <c r="L77" s="50" t="s">
        <v>387</v>
      </c>
      <c r="M77" s="44">
        <v>-6.4421426695171622</v>
      </c>
      <c r="N77" s="45">
        <v>-3.9049999999999998</v>
      </c>
      <c r="O77" s="45">
        <v>0.39383521906808699</v>
      </c>
      <c r="P77" s="45">
        <v>0.64971643265484313</v>
      </c>
      <c r="Q77" s="66" t="s">
        <v>182</v>
      </c>
      <c r="R77" s="50" t="s">
        <v>387</v>
      </c>
      <c r="S77" s="50" t="s">
        <v>387</v>
      </c>
      <c r="T77" s="66" t="s">
        <v>182</v>
      </c>
      <c r="U77" s="50" t="s">
        <v>387</v>
      </c>
      <c r="V77" s="50" t="s">
        <v>387</v>
      </c>
      <c r="W77" s="44" t="s">
        <v>163</v>
      </c>
      <c r="X77" s="66" t="s">
        <v>182</v>
      </c>
    </row>
    <row r="78" spans="1:24" x14ac:dyDescent="0.25">
      <c r="A78" s="42" t="s">
        <v>91</v>
      </c>
      <c r="B78" s="66" t="s">
        <v>91</v>
      </c>
      <c r="C78" s="44">
        <v>-2.8807918546449742</v>
      </c>
      <c r="D78" s="62">
        <v>18.360899999999997</v>
      </c>
      <c r="E78" s="63">
        <v>7.3735600926512532</v>
      </c>
      <c r="F78" s="45">
        <v>1.1568981833485819</v>
      </c>
      <c r="G78" s="66" t="s">
        <v>182</v>
      </c>
      <c r="H78" s="50" t="s">
        <v>387</v>
      </c>
      <c r="I78" s="50" t="s">
        <v>387</v>
      </c>
      <c r="J78" s="66" t="s">
        <v>182</v>
      </c>
      <c r="K78" s="50" t="s">
        <v>387</v>
      </c>
      <c r="L78" s="50" t="s">
        <v>387</v>
      </c>
      <c r="M78" s="44">
        <v>-7.7793901510826986</v>
      </c>
      <c r="N78" s="46">
        <v>-32.381799999999998</v>
      </c>
      <c r="O78" s="47">
        <v>3.1625113757141046</v>
      </c>
      <c r="P78" s="45">
        <v>0.75976041631154856</v>
      </c>
      <c r="Q78" s="66" t="s">
        <v>182</v>
      </c>
      <c r="R78" s="50" t="s">
        <v>387</v>
      </c>
      <c r="S78" s="50" t="s">
        <v>387</v>
      </c>
      <c r="T78" s="66" t="s">
        <v>182</v>
      </c>
      <c r="U78" s="50" t="s">
        <v>387</v>
      </c>
      <c r="V78" s="50" t="s">
        <v>387</v>
      </c>
      <c r="W78" s="44" t="s">
        <v>163</v>
      </c>
      <c r="X78" s="66">
        <v>2.5059999999999998</v>
      </c>
    </row>
    <row r="79" spans="1:24" x14ac:dyDescent="0.25">
      <c r="A79" s="42" t="s">
        <v>92</v>
      </c>
      <c r="B79" s="66" t="s">
        <v>92</v>
      </c>
      <c r="C79" s="44">
        <v>-18.955039542157508</v>
      </c>
      <c r="D79" s="45">
        <v>-10.35</v>
      </c>
      <c r="E79" s="45">
        <v>0.45397106785344443</v>
      </c>
      <c r="F79" s="45">
        <v>0.83140478668188489</v>
      </c>
      <c r="G79" s="66" t="s">
        <v>182</v>
      </c>
      <c r="H79" s="50" t="s">
        <v>387</v>
      </c>
      <c r="I79" s="50" t="s">
        <v>387</v>
      </c>
      <c r="J79" s="66" t="s">
        <v>182</v>
      </c>
      <c r="K79" s="50" t="s">
        <v>387</v>
      </c>
      <c r="L79" s="50" t="s">
        <v>387</v>
      </c>
      <c r="M79" s="44">
        <v>-21.060183102735394</v>
      </c>
      <c r="N79" s="45">
        <v>-30.75</v>
      </c>
      <c r="O79" s="45">
        <v>0.46010126550163033</v>
      </c>
      <c r="P79" s="45">
        <v>0.31511599665901158</v>
      </c>
      <c r="Q79" s="66" t="s">
        <v>182</v>
      </c>
      <c r="R79" s="50" t="s">
        <v>387</v>
      </c>
      <c r="S79" s="50" t="s">
        <v>387</v>
      </c>
      <c r="T79" s="66" t="s">
        <v>182</v>
      </c>
      <c r="U79" s="50" t="s">
        <v>387</v>
      </c>
      <c r="V79" s="50" t="s">
        <v>387</v>
      </c>
      <c r="W79" s="44" t="s">
        <v>418</v>
      </c>
      <c r="X79" s="66" t="s">
        <v>182</v>
      </c>
    </row>
    <row r="80" spans="1:24" x14ac:dyDescent="0.25">
      <c r="A80" s="42" t="s">
        <v>93</v>
      </c>
      <c r="B80" s="66" t="s">
        <v>93</v>
      </c>
      <c r="C80" s="44">
        <v>-9.4473511395350496</v>
      </c>
      <c r="D80" s="45">
        <v>-7.2467999999999995</v>
      </c>
      <c r="E80" s="45">
        <v>0.2329278447507086</v>
      </c>
      <c r="F80" s="45">
        <v>0.3036583236097381</v>
      </c>
      <c r="G80" s="66" t="s">
        <v>182</v>
      </c>
      <c r="H80" s="50" t="s">
        <v>387</v>
      </c>
      <c r="I80" s="50" t="s">
        <v>387</v>
      </c>
      <c r="J80" s="66" t="s">
        <v>182</v>
      </c>
      <c r="K80" s="50" t="s">
        <v>387</v>
      </c>
      <c r="L80" s="50" t="s">
        <v>387</v>
      </c>
      <c r="M80" s="44">
        <v>-12.411986597506713</v>
      </c>
      <c r="N80" s="45">
        <v>-14.257100000000003</v>
      </c>
      <c r="O80" s="45">
        <v>0.14865576819619924</v>
      </c>
      <c r="P80" s="45">
        <v>0.1294171607475075</v>
      </c>
      <c r="Q80" s="66" t="s">
        <v>182</v>
      </c>
      <c r="R80" s="50" t="s">
        <v>387</v>
      </c>
      <c r="S80" s="50" t="s">
        <v>387</v>
      </c>
      <c r="T80" s="66" t="s">
        <v>182</v>
      </c>
      <c r="U80" s="50" t="s">
        <v>387</v>
      </c>
      <c r="V80" s="50" t="s">
        <v>387</v>
      </c>
      <c r="W80" s="44" t="s">
        <v>163</v>
      </c>
      <c r="X80" s="66">
        <v>0.36899999999999999</v>
      </c>
    </row>
    <row r="81" spans="1:24" x14ac:dyDescent="0.25">
      <c r="A81" s="42" t="s">
        <v>94</v>
      </c>
      <c r="B81" s="66" t="s">
        <v>94</v>
      </c>
      <c r="C81" s="44">
        <v>-19.913229504292815</v>
      </c>
      <c r="D81" s="45">
        <v>-28.521900000000006</v>
      </c>
      <c r="E81" s="45">
        <v>0.43230910856781757</v>
      </c>
      <c r="F81" s="45">
        <v>0.30182668390630318</v>
      </c>
      <c r="G81" s="66" t="s">
        <v>182</v>
      </c>
      <c r="H81" s="50" t="s">
        <v>387</v>
      </c>
      <c r="I81" s="50" t="s">
        <v>387</v>
      </c>
      <c r="J81" s="66" t="s">
        <v>182</v>
      </c>
      <c r="K81" s="50" t="s">
        <v>387</v>
      </c>
      <c r="L81" s="50" t="s">
        <v>387</v>
      </c>
      <c r="M81" s="44">
        <v>-35.897161724050413</v>
      </c>
      <c r="N81" s="45">
        <v>-25.727900000000002</v>
      </c>
      <c r="O81" s="45">
        <v>0.28328874026932332</v>
      </c>
      <c r="P81" s="45">
        <v>0.3952620199880445</v>
      </c>
      <c r="Q81" s="66" t="s">
        <v>182</v>
      </c>
      <c r="R81" s="50" t="s">
        <v>387</v>
      </c>
      <c r="S81" s="50" t="s">
        <v>387</v>
      </c>
      <c r="T81" s="66" t="s">
        <v>182</v>
      </c>
      <c r="U81" s="50" t="s">
        <v>387</v>
      </c>
      <c r="V81" s="50" t="s">
        <v>387</v>
      </c>
      <c r="W81" s="44" t="s">
        <v>163</v>
      </c>
      <c r="X81" s="66" t="s">
        <v>182</v>
      </c>
    </row>
    <row r="82" spans="1:24" x14ac:dyDescent="0.25">
      <c r="A82" s="42" t="s">
        <v>95</v>
      </c>
      <c r="B82" s="66" t="s">
        <v>95</v>
      </c>
      <c r="C82" s="44">
        <v>-19.929798448019731</v>
      </c>
      <c r="D82" s="45">
        <v>19.071000000000002</v>
      </c>
      <c r="E82" s="45">
        <v>1.956908824228222</v>
      </c>
      <c r="F82" s="45">
        <v>2.0450316421802599</v>
      </c>
      <c r="G82" s="66" t="s">
        <v>182</v>
      </c>
      <c r="H82" s="50" t="s">
        <v>387</v>
      </c>
      <c r="I82" s="50" t="s">
        <v>387</v>
      </c>
      <c r="J82" s="66" t="s">
        <v>182</v>
      </c>
      <c r="K82" s="50" t="s">
        <v>387</v>
      </c>
      <c r="L82" s="50" t="s">
        <v>387</v>
      </c>
      <c r="M82" s="44">
        <v>-44.968375980424412</v>
      </c>
      <c r="N82" s="45">
        <v>-86.724000000000004</v>
      </c>
      <c r="O82" s="45">
        <v>0.92855530379288342</v>
      </c>
      <c r="P82" s="45">
        <v>0.48147714611382764</v>
      </c>
      <c r="Q82" s="66" t="s">
        <v>182</v>
      </c>
      <c r="R82" s="50" t="s">
        <v>387</v>
      </c>
      <c r="S82" s="50" t="s">
        <v>387</v>
      </c>
      <c r="T82" s="66" t="s">
        <v>182</v>
      </c>
      <c r="U82" s="50" t="s">
        <v>387</v>
      </c>
      <c r="V82" s="50" t="s">
        <v>387</v>
      </c>
      <c r="W82" s="44" t="s">
        <v>163</v>
      </c>
      <c r="X82" s="66">
        <v>0.51500000000000001</v>
      </c>
    </row>
    <row r="83" spans="1:24" x14ac:dyDescent="0.25">
      <c r="A83" s="42" t="s">
        <v>96</v>
      </c>
      <c r="B83" s="66" t="s">
        <v>96</v>
      </c>
      <c r="C83" s="44">
        <v>3.0542070676415349</v>
      </c>
      <c r="D83" s="45">
        <v>3.4649999999999999</v>
      </c>
      <c r="E83" s="45">
        <v>0.13450068160430265</v>
      </c>
      <c r="F83" s="45">
        <v>0.11855495883361182</v>
      </c>
      <c r="G83" s="66" t="s">
        <v>182</v>
      </c>
      <c r="H83" s="50" t="s">
        <v>387</v>
      </c>
      <c r="I83" s="50" t="s">
        <v>387</v>
      </c>
      <c r="J83" s="66" t="s">
        <v>182</v>
      </c>
      <c r="K83" s="50" t="s">
        <v>387</v>
      </c>
      <c r="L83" s="50" t="s">
        <v>387</v>
      </c>
      <c r="M83" s="44">
        <v>-19.979871081962457</v>
      </c>
      <c r="N83" s="45">
        <v>-19.459000000000003</v>
      </c>
      <c r="O83" s="45">
        <v>2.606979193337685E-2</v>
      </c>
      <c r="P83" s="45">
        <v>2.6767618169610676E-2</v>
      </c>
      <c r="Q83" s="66" t="s">
        <v>182</v>
      </c>
      <c r="R83" s="50" t="s">
        <v>387</v>
      </c>
      <c r="S83" s="50" t="s">
        <v>387</v>
      </c>
      <c r="T83" s="66" t="s">
        <v>182</v>
      </c>
      <c r="U83" s="50" t="s">
        <v>387</v>
      </c>
      <c r="V83" s="50" t="s">
        <v>387</v>
      </c>
      <c r="W83" s="44" t="s">
        <v>163</v>
      </c>
      <c r="X83" s="66" t="s">
        <v>182</v>
      </c>
    </row>
    <row r="84" spans="1:24" x14ac:dyDescent="0.25">
      <c r="A84" s="42" t="s">
        <v>431</v>
      </c>
      <c r="B84" s="66" t="s">
        <v>431</v>
      </c>
      <c r="C84" s="44">
        <v>-1.3208702649175372</v>
      </c>
      <c r="D84" s="46">
        <v>6.3E-2</v>
      </c>
      <c r="E84" s="45">
        <v>1.0476958272687993</v>
      </c>
      <c r="F84" s="47">
        <v>21.96619468123075</v>
      </c>
      <c r="G84" s="66" t="s">
        <v>182</v>
      </c>
      <c r="H84" s="50" t="s">
        <v>387</v>
      </c>
      <c r="I84" s="50" t="s">
        <v>387</v>
      </c>
      <c r="J84" s="66" t="s">
        <v>182</v>
      </c>
      <c r="K84" s="50" t="s">
        <v>387</v>
      </c>
      <c r="L84" s="50" t="s">
        <v>387</v>
      </c>
      <c r="M84" s="44">
        <v>5.2705176432359793E-2</v>
      </c>
      <c r="N84" s="46">
        <v>-0.82499999999999996</v>
      </c>
      <c r="O84" s="47">
        <v>16.653111436953061</v>
      </c>
      <c r="P84" s="45">
        <v>1.0638850623422544</v>
      </c>
      <c r="Q84" s="66" t="s">
        <v>182</v>
      </c>
      <c r="R84" s="50" t="s">
        <v>387</v>
      </c>
      <c r="S84" s="50" t="s">
        <v>387</v>
      </c>
      <c r="T84" s="66" t="s">
        <v>182</v>
      </c>
      <c r="U84" s="50" t="s">
        <v>387</v>
      </c>
      <c r="V84" s="50" t="s">
        <v>387</v>
      </c>
      <c r="W84" s="44" t="s">
        <v>240</v>
      </c>
      <c r="X84" s="66" t="s">
        <v>182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E57"/>
  <sheetViews>
    <sheetView topLeftCell="A37" workbookViewId="0">
      <selection activeCell="I58" sqref="I58"/>
    </sheetView>
  </sheetViews>
  <sheetFormatPr defaultRowHeight="15" x14ac:dyDescent="0.25"/>
  <cols>
    <col min="2" max="3" width="9.140625" hidden="1" customWidth="1"/>
  </cols>
  <sheetData>
    <row r="1" spans="1:5" x14ac:dyDescent="0.25">
      <c r="A1" t="s">
        <v>321</v>
      </c>
      <c r="B1" t="s">
        <v>322</v>
      </c>
      <c r="C1" t="s">
        <v>323</v>
      </c>
      <c r="D1" t="s">
        <v>364</v>
      </c>
      <c r="E1" t="s">
        <v>365</v>
      </c>
    </row>
    <row r="2" spans="1:5" x14ac:dyDescent="0.25">
      <c r="A2" t="s">
        <v>324</v>
      </c>
      <c r="B2">
        <v>3.1E-2</v>
      </c>
      <c r="C2">
        <v>-5.7000000000000002E-2</v>
      </c>
      <c r="D2">
        <v>-3.1E-2</v>
      </c>
      <c r="E2">
        <v>-5.7000000000000002E-2</v>
      </c>
    </row>
    <row r="3" spans="1:5" x14ac:dyDescent="0.25">
      <c r="A3" t="s">
        <v>325</v>
      </c>
      <c r="B3">
        <v>1.034</v>
      </c>
      <c r="C3">
        <v>-1.9E-2</v>
      </c>
      <c r="D3">
        <v>-1.034</v>
      </c>
      <c r="E3">
        <v>-1.9E-2</v>
      </c>
    </row>
    <row r="4" spans="1:5" x14ac:dyDescent="0.25">
      <c r="A4" t="s">
        <v>326</v>
      </c>
      <c r="B4">
        <v>0.66300000000000003</v>
      </c>
      <c r="C4">
        <v>-1.23</v>
      </c>
      <c r="D4">
        <v>-0.66300000000000003</v>
      </c>
      <c r="E4">
        <v>-1.23</v>
      </c>
    </row>
    <row r="5" spans="1:5" x14ac:dyDescent="0.25">
      <c r="A5" t="s">
        <v>327</v>
      </c>
      <c r="B5">
        <v>4.008</v>
      </c>
      <c r="C5">
        <v>-0.16700000000000001</v>
      </c>
      <c r="D5">
        <v>-4.008</v>
      </c>
      <c r="E5">
        <v>-0.16700000000000001</v>
      </c>
    </row>
    <row r="6" spans="1:5" x14ac:dyDescent="0.25">
      <c r="A6" t="s">
        <v>328</v>
      </c>
      <c r="B6">
        <v>0.29499999999999998</v>
      </c>
      <c r="C6">
        <v>-0.54700000000000004</v>
      </c>
      <c r="D6">
        <v>-0.29499999999999998</v>
      </c>
      <c r="E6">
        <v>-0.54700000000000004</v>
      </c>
    </row>
    <row r="7" spans="1:5" x14ac:dyDescent="0.25">
      <c r="A7" t="s">
        <v>329</v>
      </c>
      <c r="B7">
        <v>0.78200000000000003</v>
      </c>
      <c r="C7">
        <v>-0.42099999999999999</v>
      </c>
      <c r="D7">
        <v>-0.78200000000000003</v>
      </c>
      <c r="E7">
        <v>-0.42099999999999999</v>
      </c>
    </row>
    <row r="8" spans="1:5" x14ac:dyDescent="0.25">
      <c r="A8" t="s">
        <v>330</v>
      </c>
      <c r="B8">
        <v>4.4539999999999997</v>
      </c>
      <c r="C8">
        <v>-0.106</v>
      </c>
      <c r="D8">
        <v>-4.4539999999999997</v>
      </c>
      <c r="E8">
        <v>-0.106</v>
      </c>
    </row>
    <row r="9" spans="1:5" x14ac:dyDescent="0.25">
      <c r="A9" t="s">
        <v>331</v>
      </c>
      <c r="B9">
        <v>0.52600000000000002</v>
      </c>
      <c r="C9">
        <v>-0.97699999999999998</v>
      </c>
      <c r="D9">
        <v>-0.52600000000000002</v>
      </c>
      <c r="E9">
        <v>-0.97699999999999998</v>
      </c>
    </row>
    <row r="10" spans="1:5" x14ac:dyDescent="0.25">
      <c r="A10" t="s">
        <v>332</v>
      </c>
      <c r="B10">
        <v>1.0920000000000001</v>
      </c>
      <c r="C10">
        <v>-4.5999999999999999E-2</v>
      </c>
      <c r="D10">
        <v>-1.0920000000000001</v>
      </c>
      <c r="E10">
        <v>-4.5999999999999999E-2</v>
      </c>
    </row>
    <row r="11" spans="1:5" x14ac:dyDescent="0.25">
      <c r="A11" t="s">
        <v>333</v>
      </c>
      <c r="B11">
        <v>0.432</v>
      </c>
      <c r="C11">
        <v>-1.7999999999999999E-2</v>
      </c>
      <c r="D11">
        <v>-0.432</v>
      </c>
      <c r="E11">
        <v>-1.7999999999999999E-2</v>
      </c>
    </row>
    <row r="12" spans="1:5" x14ac:dyDescent="0.25">
      <c r="A12" t="s">
        <v>334</v>
      </c>
      <c r="B12">
        <v>0.48</v>
      </c>
      <c r="C12">
        <v>-1.0189999999999999</v>
      </c>
      <c r="D12">
        <v>-0.48</v>
      </c>
      <c r="E12">
        <v>-1.0189999999999999</v>
      </c>
    </row>
    <row r="13" spans="1:5" x14ac:dyDescent="0.25">
      <c r="A13" t="s">
        <v>335</v>
      </c>
      <c r="B13">
        <v>0.188</v>
      </c>
      <c r="C13">
        <v>-0.35</v>
      </c>
      <c r="D13">
        <v>-0.188</v>
      </c>
      <c r="E13">
        <v>-0.35</v>
      </c>
    </row>
    <row r="14" spans="1:5" x14ac:dyDescent="0.25">
      <c r="A14" t="s">
        <v>336</v>
      </c>
      <c r="B14">
        <v>1.143</v>
      </c>
      <c r="C14">
        <v>-2.1219999999999999</v>
      </c>
      <c r="D14">
        <v>-1.143</v>
      </c>
      <c r="E14">
        <v>-2.1219999999999999</v>
      </c>
    </row>
    <row r="15" spans="1:5" x14ac:dyDescent="0.25">
      <c r="A15" t="s">
        <v>337</v>
      </c>
      <c r="B15">
        <v>3.0209999999999999</v>
      </c>
      <c r="C15">
        <v>-3.0179999999999998</v>
      </c>
      <c r="D15">
        <v>-3.0209999999999999</v>
      </c>
      <c r="E15">
        <v>-3.0179999999999998</v>
      </c>
    </row>
    <row r="16" spans="1:5" x14ac:dyDescent="0.25">
      <c r="A16" t="s">
        <v>338</v>
      </c>
      <c r="B16">
        <v>0.96899999999999997</v>
      </c>
      <c r="C16">
        <v>-0.96699999999999997</v>
      </c>
      <c r="D16">
        <v>-0.96899999999999997</v>
      </c>
      <c r="E16">
        <v>-0.96699999999999997</v>
      </c>
    </row>
    <row r="17" spans="1:5" x14ac:dyDescent="0.25">
      <c r="A17" t="s">
        <v>339</v>
      </c>
      <c r="B17">
        <v>0.65700000000000003</v>
      </c>
      <c r="C17">
        <v>-0.65700000000000003</v>
      </c>
      <c r="D17">
        <v>-0.65700000000000003</v>
      </c>
      <c r="E17">
        <v>-0.65700000000000003</v>
      </c>
    </row>
    <row r="18" spans="1:5" x14ac:dyDescent="0.25">
      <c r="A18" t="s">
        <v>78</v>
      </c>
      <c r="B18">
        <v>439.95600000000002</v>
      </c>
      <c r="C18">
        <v>-438.89100000000002</v>
      </c>
      <c r="D18">
        <v>-439.95600000000002</v>
      </c>
      <c r="E18">
        <v>-438.89100000000002</v>
      </c>
    </row>
    <row r="19" spans="1:5" x14ac:dyDescent="0.25">
      <c r="A19" t="s">
        <v>271</v>
      </c>
      <c r="B19">
        <v>387.31299999999999</v>
      </c>
      <c r="C19">
        <v>-386.37299999999999</v>
      </c>
      <c r="D19">
        <v>-387.31299999999999</v>
      </c>
      <c r="E19">
        <v>-386.37299999999999</v>
      </c>
    </row>
    <row r="20" spans="1:5" x14ac:dyDescent="0.25">
      <c r="A20" t="s">
        <v>272</v>
      </c>
      <c r="B20">
        <v>0.24099999999999999</v>
      </c>
      <c r="C20">
        <v>-0.23599999999999999</v>
      </c>
      <c r="D20">
        <v>-0.24099999999999999</v>
      </c>
      <c r="E20">
        <v>-0.23599999999999999</v>
      </c>
    </row>
    <row r="21" spans="1:5" x14ac:dyDescent="0.25">
      <c r="A21" t="s">
        <v>217</v>
      </c>
      <c r="B21">
        <v>952.00900000000001</v>
      </c>
      <c r="C21">
        <v>-947.88099999999997</v>
      </c>
      <c r="D21">
        <v>-952.00900000000001</v>
      </c>
      <c r="E21">
        <v>-947.88099999999997</v>
      </c>
    </row>
    <row r="22" spans="1:5" x14ac:dyDescent="0.25">
      <c r="A22" t="s">
        <v>273</v>
      </c>
      <c r="B22">
        <v>4.3979999999999997</v>
      </c>
      <c r="C22">
        <v>-4.29</v>
      </c>
      <c r="D22">
        <v>-4.3979999999999997</v>
      </c>
      <c r="E22">
        <v>-4.29</v>
      </c>
    </row>
    <row r="23" spans="1:5" x14ac:dyDescent="0.25">
      <c r="A23" t="s">
        <v>274</v>
      </c>
      <c r="B23">
        <v>0.44</v>
      </c>
      <c r="C23">
        <v>-0.43099999999999999</v>
      </c>
      <c r="D23">
        <v>-0.44</v>
      </c>
      <c r="E23">
        <v>-0.43099999999999999</v>
      </c>
    </row>
    <row r="24" spans="1:5" x14ac:dyDescent="0.25">
      <c r="A24" t="s">
        <v>275</v>
      </c>
      <c r="B24">
        <v>1531.9770000000001</v>
      </c>
      <c r="C24">
        <v>-1512.825</v>
      </c>
      <c r="D24">
        <v>-1531.9770000000001</v>
      </c>
      <c r="E24">
        <v>-1512.825</v>
      </c>
    </row>
    <row r="25" spans="1:5" x14ac:dyDescent="0.25">
      <c r="A25" t="s">
        <v>219</v>
      </c>
      <c r="B25">
        <v>1740.354</v>
      </c>
      <c r="C25">
        <v>-1718.598</v>
      </c>
      <c r="D25">
        <v>-1740.354</v>
      </c>
      <c r="E25">
        <v>-1718.598</v>
      </c>
    </row>
    <row r="26" spans="1:5" x14ac:dyDescent="0.25">
      <c r="A26" t="s">
        <v>276</v>
      </c>
      <c r="B26">
        <v>9.4E-2</v>
      </c>
      <c r="C26">
        <v>-9.2999999999999999E-2</v>
      </c>
      <c r="D26">
        <v>-9.4E-2</v>
      </c>
      <c r="E26">
        <v>-9.2999999999999999E-2</v>
      </c>
    </row>
    <row r="27" spans="1:5" x14ac:dyDescent="0.25">
      <c r="A27" t="s">
        <v>277</v>
      </c>
      <c r="B27">
        <v>3.302</v>
      </c>
      <c r="C27">
        <v>-3.2050000000000001</v>
      </c>
      <c r="D27">
        <v>-3.302</v>
      </c>
      <c r="E27">
        <v>-3.2050000000000001</v>
      </c>
    </row>
    <row r="28" spans="1:5" x14ac:dyDescent="0.25">
      <c r="A28" t="s">
        <v>218</v>
      </c>
      <c r="B28">
        <v>371.37</v>
      </c>
      <c r="C28">
        <v>-367.90800000000002</v>
      </c>
      <c r="D28">
        <v>-371.37</v>
      </c>
      <c r="E28">
        <v>-367.90800000000002</v>
      </c>
    </row>
    <row r="29" spans="1:5" x14ac:dyDescent="0.25">
      <c r="A29" t="s">
        <v>220</v>
      </c>
      <c r="B29">
        <v>4.0750000000000002</v>
      </c>
      <c r="C29">
        <v>-3.9950000000000001</v>
      </c>
      <c r="D29">
        <v>-4.0750000000000002</v>
      </c>
      <c r="E29">
        <v>-3.9950000000000001</v>
      </c>
    </row>
    <row r="30" spans="1:5" x14ac:dyDescent="0.25">
      <c r="A30" t="s">
        <v>340</v>
      </c>
      <c r="B30">
        <v>2E-3</v>
      </c>
      <c r="C30">
        <v>-1E-3</v>
      </c>
      <c r="D30">
        <v>-2E-3</v>
      </c>
      <c r="E30">
        <v>-1E-3</v>
      </c>
    </row>
    <row r="31" spans="1:5" x14ac:dyDescent="0.25">
      <c r="A31" t="s">
        <v>278</v>
      </c>
      <c r="B31">
        <v>3.6219999999999999</v>
      </c>
      <c r="C31">
        <v>-3.4790000000000001</v>
      </c>
      <c r="D31">
        <v>-3.6219999999999999</v>
      </c>
      <c r="E31">
        <v>-3.4790000000000001</v>
      </c>
    </row>
    <row r="32" spans="1:5" x14ac:dyDescent="0.25">
      <c r="A32" t="s">
        <v>341</v>
      </c>
      <c r="B32">
        <v>8.0000000000000002E-3</v>
      </c>
      <c r="C32">
        <v>-8.0000000000000002E-3</v>
      </c>
      <c r="D32">
        <v>-8.0000000000000002E-3</v>
      </c>
      <c r="E32">
        <v>-8.0000000000000002E-3</v>
      </c>
    </row>
    <row r="33" spans="1:5" x14ac:dyDescent="0.25">
      <c r="A33" t="s">
        <v>342</v>
      </c>
      <c r="B33">
        <v>1.6E-2</v>
      </c>
      <c r="C33">
        <v>-1.4999999999999999E-2</v>
      </c>
      <c r="D33">
        <v>-1.6E-2</v>
      </c>
      <c r="E33">
        <v>-1.4999999999999999E-2</v>
      </c>
    </row>
    <row r="34" spans="1:5" x14ac:dyDescent="0.25">
      <c r="A34" t="s">
        <v>343</v>
      </c>
      <c r="B34">
        <v>2E-3</v>
      </c>
      <c r="C34">
        <v>-1E-3</v>
      </c>
      <c r="D34">
        <v>-2E-3</v>
      </c>
      <c r="E34">
        <v>-1E-3</v>
      </c>
    </row>
    <row r="35" spans="1:5" x14ac:dyDescent="0.25">
      <c r="A35" t="s">
        <v>344</v>
      </c>
      <c r="B35">
        <v>2.4E-2</v>
      </c>
      <c r="C35">
        <v>-2.1999999999999999E-2</v>
      </c>
      <c r="D35">
        <v>-2.4E-2</v>
      </c>
      <c r="E35">
        <v>-2.1999999999999999E-2</v>
      </c>
    </row>
    <row r="36" spans="1:5" x14ac:dyDescent="0.25">
      <c r="A36" t="s">
        <v>345</v>
      </c>
      <c r="B36">
        <v>8.0000000000000002E-3</v>
      </c>
      <c r="C36">
        <v>-7.0000000000000001E-3</v>
      </c>
      <c r="D36">
        <v>-8.0000000000000002E-3</v>
      </c>
      <c r="E36">
        <v>-7.0000000000000001E-3</v>
      </c>
    </row>
    <row r="37" spans="1:5" x14ac:dyDescent="0.25">
      <c r="A37" t="s">
        <v>279</v>
      </c>
      <c r="B37">
        <v>0.154</v>
      </c>
      <c r="C37">
        <v>-0.13800000000000001</v>
      </c>
      <c r="D37">
        <v>-0.154</v>
      </c>
      <c r="E37">
        <v>-0.13800000000000001</v>
      </c>
    </row>
    <row r="38" spans="1:5" x14ac:dyDescent="0.25">
      <c r="A38" t="s">
        <v>346</v>
      </c>
      <c r="B38">
        <v>30910.976999999999</v>
      </c>
      <c r="C38">
        <v>-30065.098000000002</v>
      </c>
      <c r="D38">
        <v>-30910.976999999999</v>
      </c>
      <c r="E38">
        <v>-30065.098000000002</v>
      </c>
    </row>
    <row r="39" spans="1:5" x14ac:dyDescent="0.25">
      <c r="A39" t="s">
        <v>347</v>
      </c>
      <c r="B39">
        <v>3073.1970000000001</v>
      </c>
      <c r="C39">
        <v>-2975.0639999999999</v>
      </c>
      <c r="D39">
        <v>-3073.1970000000001</v>
      </c>
      <c r="E39">
        <v>-2975.0639999999999</v>
      </c>
    </row>
    <row r="40" spans="1:5" x14ac:dyDescent="0.25">
      <c r="A40" t="s">
        <v>280</v>
      </c>
      <c r="B40">
        <v>350.38099999999997</v>
      </c>
      <c r="C40">
        <v>-349.53899999999999</v>
      </c>
      <c r="D40">
        <v>-350.38099999999997</v>
      </c>
      <c r="E40">
        <v>-349.53899999999999</v>
      </c>
    </row>
    <row r="41" spans="1:5" x14ac:dyDescent="0.25">
      <c r="A41" t="s">
        <v>348</v>
      </c>
      <c r="B41">
        <v>47393.548000000003</v>
      </c>
      <c r="C41">
        <v>-47277.974000000002</v>
      </c>
      <c r="D41">
        <v>-47393.548000000003</v>
      </c>
      <c r="E41">
        <v>-47277.974000000002</v>
      </c>
    </row>
    <row r="42" spans="1:5" x14ac:dyDescent="0.25">
      <c r="A42" t="s">
        <v>349</v>
      </c>
      <c r="B42">
        <v>4.9000000000000002E-2</v>
      </c>
      <c r="C42">
        <v>-4.8000000000000001E-2</v>
      </c>
      <c r="D42">
        <v>-4.9000000000000002E-2</v>
      </c>
      <c r="E42">
        <v>-4.8000000000000001E-2</v>
      </c>
    </row>
    <row r="43" spans="1:5" x14ac:dyDescent="0.25">
      <c r="A43" t="s">
        <v>216</v>
      </c>
      <c r="B43">
        <v>190.98400000000001</v>
      </c>
      <c r="C43">
        <v>-189.98</v>
      </c>
      <c r="D43">
        <v>-190.98400000000001</v>
      </c>
      <c r="E43">
        <v>-189.98</v>
      </c>
    </row>
    <row r="44" spans="1:5" x14ac:dyDescent="0.25">
      <c r="A44" t="s">
        <v>350</v>
      </c>
      <c r="B44">
        <v>66.534000000000006</v>
      </c>
      <c r="C44">
        <v>-64.254000000000005</v>
      </c>
      <c r="D44">
        <v>-66.534000000000006</v>
      </c>
      <c r="E44">
        <v>-64.254000000000005</v>
      </c>
    </row>
    <row r="45" spans="1:5" x14ac:dyDescent="0.25">
      <c r="A45" t="s">
        <v>351</v>
      </c>
      <c r="B45">
        <v>1.0999999999999999E-2</v>
      </c>
      <c r="C45">
        <v>-0.01</v>
      </c>
      <c r="D45">
        <v>-1.0999999999999999E-2</v>
      </c>
      <c r="E45">
        <v>-0.01</v>
      </c>
    </row>
    <row r="46" spans="1:5" x14ac:dyDescent="0.25">
      <c r="A46" t="s">
        <v>352</v>
      </c>
      <c r="B46">
        <v>121.61199999999999</v>
      </c>
      <c r="C46">
        <v>-116.489</v>
      </c>
      <c r="D46">
        <v>-121.61199999999999</v>
      </c>
      <c r="E46">
        <v>-116.489</v>
      </c>
    </row>
    <row r="47" spans="1:5" x14ac:dyDescent="0.25">
      <c r="A47" t="s">
        <v>353</v>
      </c>
      <c r="B47">
        <v>1873.625</v>
      </c>
      <c r="C47">
        <v>-1852.5160000000001</v>
      </c>
      <c r="D47">
        <v>-1873.625</v>
      </c>
      <c r="E47">
        <v>-1852.5160000000001</v>
      </c>
    </row>
    <row r="48" spans="1:5" x14ac:dyDescent="0.25">
      <c r="A48" t="s">
        <v>354</v>
      </c>
      <c r="B48">
        <v>517</v>
      </c>
      <c r="C48">
        <v>-508.625</v>
      </c>
      <c r="D48">
        <v>-517</v>
      </c>
      <c r="E48">
        <v>-508.625</v>
      </c>
    </row>
    <row r="49" spans="1:5" x14ac:dyDescent="0.25">
      <c r="A49" t="s">
        <v>355</v>
      </c>
      <c r="B49">
        <v>12231.724</v>
      </c>
      <c r="C49">
        <v>-11772.09</v>
      </c>
      <c r="D49">
        <v>-12231.724</v>
      </c>
      <c r="E49">
        <v>-11772.09</v>
      </c>
    </row>
    <row r="50" spans="1:5" x14ac:dyDescent="0.25">
      <c r="A50" t="s">
        <v>356</v>
      </c>
      <c r="B50">
        <v>25.963999999999999</v>
      </c>
      <c r="C50">
        <v>-24.94</v>
      </c>
      <c r="D50">
        <v>-25.963999999999999</v>
      </c>
      <c r="E50">
        <v>-24.94</v>
      </c>
    </row>
    <row r="51" spans="1:5" x14ac:dyDescent="0.25">
      <c r="A51" t="s">
        <v>357</v>
      </c>
      <c r="B51">
        <v>404.31599999999997</v>
      </c>
      <c r="C51">
        <v>-392.38299999999998</v>
      </c>
      <c r="D51">
        <v>-404.31599999999997</v>
      </c>
      <c r="E51">
        <v>-392.38299999999998</v>
      </c>
    </row>
    <row r="52" spans="1:5" x14ac:dyDescent="0.25">
      <c r="A52" t="s">
        <v>358</v>
      </c>
      <c r="B52">
        <v>2611.0100000000002</v>
      </c>
      <c r="C52">
        <v>-2520.183</v>
      </c>
      <c r="D52">
        <v>-2611.0100000000002</v>
      </c>
      <c r="E52">
        <v>-2520.183</v>
      </c>
    </row>
    <row r="53" spans="1:5" x14ac:dyDescent="0.25">
      <c r="A53" t="s">
        <v>359</v>
      </c>
      <c r="B53">
        <v>0.02</v>
      </c>
      <c r="C53">
        <v>-1.7999999999999999E-2</v>
      </c>
      <c r="D53">
        <v>-0.02</v>
      </c>
      <c r="E53">
        <v>-1.7999999999999999E-2</v>
      </c>
    </row>
    <row r="54" spans="1:5" x14ac:dyDescent="0.25">
      <c r="A54" t="s">
        <v>360</v>
      </c>
      <c r="B54">
        <v>0.77500000000000002</v>
      </c>
      <c r="C54">
        <v>-0.121</v>
      </c>
      <c r="D54">
        <v>-0.77500000000000002</v>
      </c>
      <c r="E54">
        <v>-0.121</v>
      </c>
    </row>
    <row r="55" spans="1:5" x14ac:dyDescent="0.25">
      <c r="A55" t="s">
        <v>361</v>
      </c>
      <c r="B55">
        <v>0.02</v>
      </c>
      <c r="C55">
        <v>-1.7000000000000001E-2</v>
      </c>
      <c r="D55">
        <v>-0.02</v>
      </c>
      <c r="E55">
        <v>-1.7000000000000001E-2</v>
      </c>
    </row>
    <row r="56" spans="1:5" x14ac:dyDescent="0.25">
      <c r="A56" t="s">
        <v>362</v>
      </c>
      <c r="B56">
        <v>0.79200000000000004</v>
      </c>
      <c r="C56">
        <v>-0.65800000000000003</v>
      </c>
      <c r="D56">
        <v>-0.79200000000000004</v>
      </c>
      <c r="E56">
        <v>-0.65800000000000003</v>
      </c>
    </row>
    <row r="57" spans="1:5" x14ac:dyDescent="0.25">
      <c r="A57" t="s">
        <v>363</v>
      </c>
      <c r="B57">
        <v>11.451000000000001</v>
      </c>
      <c r="C57">
        <v>-10.672000000000001</v>
      </c>
      <c r="D57">
        <v>-11.451000000000001</v>
      </c>
      <c r="E57">
        <v>-10.672000000000001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124"/>
  <sheetViews>
    <sheetView workbookViewId="0">
      <selection activeCell="I68" sqref="I68"/>
    </sheetView>
  </sheetViews>
  <sheetFormatPr defaultRowHeight="15" x14ac:dyDescent="0.25"/>
  <cols>
    <col min="1" max="1" width="9.7109375" bestFit="1" customWidth="1"/>
    <col min="2" max="2" width="13.140625" bestFit="1" customWidth="1"/>
    <col min="3" max="3" width="13.42578125" bestFit="1" customWidth="1"/>
  </cols>
  <sheetData>
    <row r="1" spans="1:3" x14ac:dyDescent="0.25">
      <c r="A1" t="s">
        <v>366</v>
      </c>
      <c r="B1" t="s">
        <v>367</v>
      </c>
      <c r="C1" t="s">
        <v>368</v>
      </c>
    </row>
    <row r="2" spans="1:3" x14ac:dyDescent="0.25">
      <c r="A2" t="s">
        <v>392</v>
      </c>
      <c r="B2">
        <v>-1.6972</v>
      </c>
      <c r="C2">
        <v>-1.4083000000000001</v>
      </c>
    </row>
    <row r="3" spans="1:3" x14ac:dyDescent="0.25">
      <c r="A3" t="s">
        <v>454</v>
      </c>
      <c r="B3">
        <v>-1.2403</v>
      </c>
      <c r="C3">
        <v>-1.0291999999999999</v>
      </c>
    </row>
    <row r="4" spans="1:3" x14ac:dyDescent="0.25">
      <c r="A4" t="s">
        <v>393</v>
      </c>
      <c r="B4">
        <v>-43.083300000000001</v>
      </c>
      <c r="C4">
        <v>-35.75</v>
      </c>
    </row>
    <row r="5" spans="1:3" x14ac:dyDescent="0.25">
      <c r="A5" t="s">
        <v>143</v>
      </c>
      <c r="B5">
        <v>-7.17</v>
      </c>
      <c r="C5">
        <v>-4.26</v>
      </c>
    </row>
    <row r="6" spans="1:3" x14ac:dyDescent="0.25">
      <c r="A6" t="s">
        <v>149</v>
      </c>
      <c r="B6">
        <v>-1.9573</v>
      </c>
      <c r="C6">
        <v>-11.4176</v>
      </c>
    </row>
    <row r="7" spans="1:3" x14ac:dyDescent="0.25">
      <c r="A7" t="s">
        <v>147</v>
      </c>
      <c r="B7">
        <v>0.3</v>
      </c>
      <c r="C7">
        <v>-6.57</v>
      </c>
    </row>
    <row r="8" spans="1:3" x14ac:dyDescent="0.25">
      <c r="A8" t="s">
        <v>141</v>
      </c>
      <c r="B8">
        <v>-6.39</v>
      </c>
      <c r="C8">
        <v>-5.34</v>
      </c>
    </row>
    <row r="9" spans="1:3" x14ac:dyDescent="0.25">
      <c r="A9" t="s">
        <v>153</v>
      </c>
      <c r="B9">
        <v>0.3</v>
      </c>
      <c r="C9">
        <v>-5.4</v>
      </c>
    </row>
    <row r="10" spans="1:3" x14ac:dyDescent="0.25">
      <c r="A10" t="s">
        <v>394</v>
      </c>
      <c r="B10">
        <v>-0.69369999999999998</v>
      </c>
      <c r="C10">
        <v>-0.1328</v>
      </c>
    </row>
    <row r="11" spans="1:3" x14ac:dyDescent="0.25">
      <c r="A11" t="s">
        <v>455</v>
      </c>
      <c r="B11">
        <v>-1.5928</v>
      </c>
      <c r="C11">
        <v>-1.3217000000000001</v>
      </c>
    </row>
    <row r="12" spans="1:3" x14ac:dyDescent="0.25">
      <c r="A12" t="s">
        <v>427</v>
      </c>
      <c r="B12">
        <v>-0.77029999999999998</v>
      </c>
      <c r="C12">
        <v>-0.63919999999999999</v>
      </c>
    </row>
    <row r="13" spans="1:3" x14ac:dyDescent="0.25">
      <c r="A13" t="s">
        <v>395</v>
      </c>
      <c r="B13">
        <v>-2.7416999999999998</v>
      </c>
      <c r="C13">
        <v>-2.2749999999999999</v>
      </c>
    </row>
    <row r="14" spans="1:3" x14ac:dyDescent="0.25">
      <c r="A14" t="s">
        <v>396</v>
      </c>
      <c r="B14">
        <v>-0.45689999999999997</v>
      </c>
      <c r="C14">
        <v>-0.37919999999999998</v>
      </c>
    </row>
    <row r="15" spans="1:3" x14ac:dyDescent="0.25">
      <c r="A15" t="s">
        <v>420</v>
      </c>
      <c r="B15">
        <v>-3.0028000000000001</v>
      </c>
      <c r="C15">
        <v>-2.4916999999999998</v>
      </c>
    </row>
    <row r="16" spans="1:3" x14ac:dyDescent="0.25">
      <c r="A16" t="s">
        <v>397</v>
      </c>
      <c r="B16">
        <v>-1.6</v>
      </c>
      <c r="C16">
        <v>-1.2</v>
      </c>
    </row>
    <row r="17" spans="1:3" x14ac:dyDescent="0.25">
      <c r="A17" t="s">
        <v>271</v>
      </c>
      <c r="B17">
        <v>-16</v>
      </c>
      <c r="C17">
        <v>-16</v>
      </c>
    </row>
    <row r="18" spans="1:3" x14ac:dyDescent="0.25">
      <c r="A18" t="s">
        <v>348</v>
      </c>
      <c r="B18">
        <v>-16</v>
      </c>
      <c r="C18">
        <v>-16</v>
      </c>
    </row>
    <row r="19" spans="1:3" x14ac:dyDescent="0.25">
      <c r="A19" t="s">
        <v>78</v>
      </c>
      <c r="B19">
        <v>-16</v>
      </c>
      <c r="C19">
        <v>-16</v>
      </c>
    </row>
    <row r="20" spans="1:3" x14ac:dyDescent="0.25">
      <c r="A20" t="s">
        <v>148</v>
      </c>
      <c r="B20">
        <v>-0.65239999999999998</v>
      </c>
      <c r="C20">
        <v>-13.3749</v>
      </c>
    </row>
    <row r="21" spans="1:3" x14ac:dyDescent="0.25">
      <c r="A21" t="s">
        <v>144</v>
      </c>
      <c r="B21">
        <v>0</v>
      </c>
      <c r="C21">
        <v>-8.58</v>
      </c>
    </row>
    <row r="22" spans="1:3" x14ac:dyDescent="0.25">
      <c r="A22" t="s">
        <v>456</v>
      </c>
      <c r="B22">
        <v>-2.5327999999999999</v>
      </c>
      <c r="C22">
        <v>-2.1017000000000001</v>
      </c>
    </row>
    <row r="23" spans="1:3" x14ac:dyDescent="0.25">
      <c r="A23" t="s">
        <v>140</v>
      </c>
      <c r="B23">
        <v>-13.65</v>
      </c>
      <c r="C23">
        <v>0.33</v>
      </c>
    </row>
    <row r="24" spans="1:3" x14ac:dyDescent="0.25">
      <c r="A24" t="s">
        <v>398</v>
      </c>
      <c r="B24">
        <v>-1.3355999999999999</v>
      </c>
      <c r="C24">
        <v>-0.68200000000000005</v>
      </c>
    </row>
    <row r="25" spans="1:3" x14ac:dyDescent="0.25">
      <c r="A25" t="s">
        <v>457</v>
      </c>
      <c r="B25">
        <v>-2.3239000000000001</v>
      </c>
      <c r="C25">
        <v>-1.9282999999999999</v>
      </c>
    </row>
    <row r="26" spans="1:3" x14ac:dyDescent="0.25">
      <c r="A26" t="s">
        <v>399</v>
      </c>
      <c r="B26">
        <v>-4.4389000000000003</v>
      </c>
      <c r="C26">
        <v>-2.2667000000000002</v>
      </c>
    </row>
    <row r="27" spans="1:3" x14ac:dyDescent="0.25">
      <c r="A27" t="s">
        <v>400</v>
      </c>
      <c r="B27">
        <v>-1.1460999999999999</v>
      </c>
      <c r="C27">
        <v>-0.2492</v>
      </c>
    </row>
    <row r="28" spans="1:3" x14ac:dyDescent="0.25">
      <c r="A28" t="s">
        <v>219</v>
      </c>
      <c r="B28">
        <v>-1.4</v>
      </c>
      <c r="C28">
        <v>-1.4</v>
      </c>
    </row>
    <row r="29" spans="1:3" x14ac:dyDescent="0.25">
      <c r="A29" t="s">
        <v>145</v>
      </c>
      <c r="B29">
        <v>-12.63</v>
      </c>
      <c r="C29">
        <v>-2.0699999999999998</v>
      </c>
    </row>
    <row r="30" spans="1:3" x14ac:dyDescent="0.25">
      <c r="A30" t="s">
        <v>150</v>
      </c>
      <c r="B30">
        <v>-15.69</v>
      </c>
      <c r="C30">
        <v>0</v>
      </c>
    </row>
    <row r="31" spans="1:3" x14ac:dyDescent="0.25">
      <c r="A31" t="s">
        <v>146</v>
      </c>
      <c r="B31">
        <v>0.3</v>
      </c>
      <c r="C31">
        <v>-10.77</v>
      </c>
    </row>
    <row r="32" spans="1:3" x14ac:dyDescent="0.25">
      <c r="A32" t="s">
        <v>103</v>
      </c>
      <c r="B32">
        <v>-6.3788999999999998</v>
      </c>
      <c r="C32">
        <v>-5.3315999999999999</v>
      </c>
    </row>
    <row r="33" spans="1:3" x14ac:dyDescent="0.25">
      <c r="A33" t="s">
        <v>122</v>
      </c>
      <c r="B33">
        <v>-15.27</v>
      </c>
      <c r="C33">
        <v>0.33</v>
      </c>
    </row>
    <row r="34" spans="1:3" x14ac:dyDescent="0.25">
      <c r="A34" t="s">
        <v>433</v>
      </c>
      <c r="B34">
        <v>-13.984</v>
      </c>
      <c r="C34">
        <v>-0.39389999999999997</v>
      </c>
    </row>
    <row r="35" spans="1:3" x14ac:dyDescent="0.25">
      <c r="A35" t="s">
        <v>126</v>
      </c>
      <c r="B35">
        <v>-12.33</v>
      </c>
      <c r="C35">
        <v>0.27</v>
      </c>
    </row>
    <row r="36" spans="1:3" x14ac:dyDescent="0.25">
      <c r="A36" t="s">
        <v>114</v>
      </c>
      <c r="B36">
        <v>-71.069999999999993</v>
      </c>
      <c r="C36">
        <v>29.55</v>
      </c>
    </row>
    <row r="37" spans="1:3" x14ac:dyDescent="0.25">
      <c r="A37" t="s">
        <v>108</v>
      </c>
      <c r="B37">
        <v>-13.9314</v>
      </c>
      <c r="C37">
        <v>-3.3138000000000001</v>
      </c>
    </row>
    <row r="38" spans="1:3" x14ac:dyDescent="0.25">
      <c r="A38" t="s">
        <v>128</v>
      </c>
      <c r="B38">
        <v>-13.8384</v>
      </c>
      <c r="C38">
        <v>-1.4677</v>
      </c>
    </row>
    <row r="39" spans="1:3" x14ac:dyDescent="0.25">
      <c r="A39" t="s">
        <v>107</v>
      </c>
      <c r="B39">
        <v>-12.33</v>
      </c>
      <c r="C39">
        <v>-0.72</v>
      </c>
    </row>
    <row r="40" spans="1:3" x14ac:dyDescent="0.25">
      <c r="A40" t="s">
        <v>104</v>
      </c>
      <c r="B40">
        <v>-12.3223</v>
      </c>
      <c r="C40">
        <v>-4.5561999999999996</v>
      </c>
    </row>
    <row r="41" spans="1:3" x14ac:dyDescent="0.25">
      <c r="A41" t="s">
        <v>111</v>
      </c>
      <c r="B41">
        <v>-222.39</v>
      </c>
      <c r="C41">
        <v>178.44</v>
      </c>
    </row>
    <row r="42" spans="1:3" x14ac:dyDescent="0.25">
      <c r="A42" t="s">
        <v>127</v>
      </c>
      <c r="B42">
        <v>-15</v>
      </c>
      <c r="C42">
        <v>0.33</v>
      </c>
    </row>
    <row r="43" spans="1:3" x14ac:dyDescent="0.25">
      <c r="A43" t="s">
        <v>434</v>
      </c>
      <c r="B43">
        <v>-60.974400000000003</v>
      </c>
      <c r="C43">
        <v>27.367000000000001</v>
      </c>
    </row>
    <row r="44" spans="1:3" x14ac:dyDescent="0.25">
      <c r="A44" t="s">
        <v>401</v>
      </c>
      <c r="B44">
        <v>-3.9167000000000001</v>
      </c>
      <c r="C44">
        <v>-3.25</v>
      </c>
    </row>
    <row r="45" spans="1:3" x14ac:dyDescent="0.25">
      <c r="A45" t="s">
        <v>402</v>
      </c>
      <c r="B45">
        <v>-0.98019999999999996</v>
      </c>
      <c r="C45">
        <v>-0.21310000000000001</v>
      </c>
    </row>
    <row r="46" spans="1:3" x14ac:dyDescent="0.25">
      <c r="A46" t="s">
        <v>134</v>
      </c>
      <c r="B46">
        <v>-7.5273000000000003</v>
      </c>
      <c r="C46">
        <v>-8.8556000000000008</v>
      </c>
    </row>
    <row r="47" spans="1:3" x14ac:dyDescent="0.25">
      <c r="A47" t="s">
        <v>135</v>
      </c>
      <c r="B47">
        <v>-10.2005</v>
      </c>
      <c r="C47">
        <v>-6.4048999999999996</v>
      </c>
    </row>
    <row r="48" spans="1:3" x14ac:dyDescent="0.25">
      <c r="A48" t="s">
        <v>136</v>
      </c>
      <c r="B48">
        <v>0</v>
      </c>
      <c r="C48">
        <v>-18.63</v>
      </c>
    </row>
    <row r="49" spans="1:3" x14ac:dyDescent="0.25">
      <c r="A49" t="s">
        <v>139</v>
      </c>
      <c r="B49">
        <v>0.39</v>
      </c>
      <c r="C49">
        <v>-10.38</v>
      </c>
    </row>
    <row r="50" spans="1:3" x14ac:dyDescent="0.25">
      <c r="A50" t="s">
        <v>138</v>
      </c>
      <c r="B50">
        <v>-8.8063000000000002</v>
      </c>
      <c r="C50">
        <v>-8.3869000000000007</v>
      </c>
    </row>
    <row r="51" spans="1:3" x14ac:dyDescent="0.25">
      <c r="A51" t="s">
        <v>133</v>
      </c>
      <c r="B51">
        <v>-9.9</v>
      </c>
      <c r="C51">
        <v>0.3</v>
      </c>
    </row>
    <row r="52" spans="1:3" x14ac:dyDescent="0.25">
      <c r="A52" t="s">
        <v>435</v>
      </c>
      <c r="B52">
        <v>-63.3172</v>
      </c>
      <c r="C52">
        <v>25.729099999999999</v>
      </c>
    </row>
    <row r="53" spans="1:3" x14ac:dyDescent="0.25">
      <c r="A53" t="s">
        <v>421</v>
      </c>
      <c r="B53">
        <v>-0.18279999999999999</v>
      </c>
      <c r="C53">
        <v>-0.1517</v>
      </c>
    </row>
    <row r="54" spans="1:3" x14ac:dyDescent="0.25">
      <c r="A54" t="s">
        <v>403</v>
      </c>
      <c r="B54">
        <v>-2.2621000000000002</v>
      </c>
      <c r="C54">
        <v>-0.49180000000000001</v>
      </c>
    </row>
    <row r="55" spans="1:3" x14ac:dyDescent="0.25">
      <c r="A55" t="s">
        <v>404</v>
      </c>
      <c r="B55">
        <v>-26.1111</v>
      </c>
      <c r="C55">
        <v>-21.666699999999999</v>
      </c>
    </row>
    <row r="56" spans="1:3" x14ac:dyDescent="0.25">
      <c r="A56" t="s">
        <v>422</v>
      </c>
      <c r="B56">
        <v>-0.4178</v>
      </c>
      <c r="C56">
        <v>-0.34670000000000001</v>
      </c>
    </row>
    <row r="57" spans="1:3" x14ac:dyDescent="0.25">
      <c r="A57" t="s">
        <v>423</v>
      </c>
      <c r="B57">
        <v>-3.9167000000000001</v>
      </c>
      <c r="C57">
        <v>-3.25</v>
      </c>
    </row>
    <row r="58" spans="1:3" x14ac:dyDescent="0.25">
      <c r="A58" t="s">
        <v>458</v>
      </c>
      <c r="B58">
        <v>-3.5118999999999998</v>
      </c>
      <c r="C58">
        <v>-2.9142000000000001</v>
      </c>
    </row>
    <row r="59" spans="1:3" x14ac:dyDescent="0.25">
      <c r="A59" t="s">
        <v>405</v>
      </c>
      <c r="B59">
        <v>-5.4065000000000003</v>
      </c>
      <c r="C59">
        <v>-0.70079999999999998</v>
      </c>
    </row>
    <row r="60" spans="1:3" x14ac:dyDescent="0.25">
      <c r="A60" t="s">
        <v>459</v>
      </c>
      <c r="B60">
        <v>-1.6711</v>
      </c>
      <c r="C60">
        <v>-1.3867</v>
      </c>
    </row>
    <row r="61" spans="1:3" x14ac:dyDescent="0.25">
      <c r="A61" t="s">
        <v>428</v>
      </c>
      <c r="B61">
        <v>-2.0889000000000002</v>
      </c>
      <c r="C61">
        <v>-1.7333000000000001</v>
      </c>
    </row>
    <row r="62" spans="1:3" x14ac:dyDescent="0.25">
      <c r="A62" t="s">
        <v>406</v>
      </c>
      <c r="B62">
        <v>-2.4403000000000001</v>
      </c>
      <c r="C62">
        <v>-2.1659999999999999</v>
      </c>
    </row>
    <row r="63" spans="1:3" x14ac:dyDescent="0.25">
      <c r="A63" t="s">
        <v>460</v>
      </c>
      <c r="B63">
        <v>-1.5667</v>
      </c>
      <c r="C63">
        <v>-1.3</v>
      </c>
    </row>
    <row r="64" spans="1:3" x14ac:dyDescent="0.25">
      <c r="A64" t="s">
        <v>461</v>
      </c>
      <c r="B64">
        <v>-0.66579999999999995</v>
      </c>
      <c r="C64">
        <v>-0.55249999999999999</v>
      </c>
    </row>
    <row r="65" spans="1:3" x14ac:dyDescent="0.25">
      <c r="A65" t="s">
        <v>424</v>
      </c>
      <c r="B65">
        <v>-4.8305999999999996</v>
      </c>
      <c r="C65">
        <v>-4.0083000000000002</v>
      </c>
    </row>
    <row r="66" spans="1:3" x14ac:dyDescent="0.25">
      <c r="A66" t="s">
        <v>218</v>
      </c>
      <c r="B66">
        <v>-0.3</v>
      </c>
      <c r="C66">
        <v>-0.3</v>
      </c>
    </row>
    <row r="67" spans="1:3" x14ac:dyDescent="0.25">
      <c r="A67" t="s">
        <v>425</v>
      </c>
      <c r="B67">
        <v>-4.5693999999999999</v>
      </c>
      <c r="C67">
        <v>-3.7917000000000001</v>
      </c>
    </row>
    <row r="68" spans="1:3" x14ac:dyDescent="0.25">
      <c r="A68" t="s">
        <v>462</v>
      </c>
      <c r="B68">
        <v>-2.2193999999999998</v>
      </c>
      <c r="C68">
        <v>-1.8416999999999999</v>
      </c>
    </row>
    <row r="69" spans="1:3" x14ac:dyDescent="0.25">
      <c r="A69" t="s">
        <v>429</v>
      </c>
      <c r="B69">
        <v>-1.0183</v>
      </c>
      <c r="C69">
        <v>-0.84499999999999997</v>
      </c>
    </row>
    <row r="70" spans="1:3" x14ac:dyDescent="0.25">
      <c r="A70" t="s">
        <v>463</v>
      </c>
      <c r="B70">
        <v>-1.9556</v>
      </c>
      <c r="C70">
        <v>-1.4666999999999999</v>
      </c>
    </row>
    <row r="71" spans="1:3" x14ac:dyDescent="0.25">
      <c r="A71" t="s">
        <v>68</v>
      </c>
      <c r="B71">
        <v>-0.73329999999999995</v>
      </c>
      <c r="C71">
        <v>-2.2437</v>
      </c>
    </row>
    <row r="72" spans="1:3" x14ac:dyDescent="0.25">
      <c r="A72" t="s">
        <v>407</v>
      </c>
      <c r="B72">
        <v>-6.3971999999999998</v>
      </c>
      <c r="C72">
        <v>-5.3083</v>
      </c>
    </row>
    <row r="73" spans="1:3" x14ac:dyDescent="0.25">
      <c r="A73" t="s">
        <v>464</v>
      </c>
      <c r="B73">
        <v>-1.9060999999999999</v>
      </c>
      <c r="C73">
        <v>-1.5817000000000001</v>
      </c>
    </row>
    <row r="74" spans="1:3" x14ac:dyDescent="0.25">
      <c r="A74" t="s">
        <v>99</v>
      </c>
      <c r="B74">
        <v>-1.528</v>
      </c>
      <c r="C74">
        <v>-1.6917</v>
      </c>
    </row>
    <row r="75" spans="1:3" x14ac:dyDescent="0.25">
      <c r="A75" t="s">
        <v>102</v>
      </c>
      <c r="B75">
        <v>-0.7248</v>
      </c>
      <c r="C75">
        <v>-1.0009999999999999</v>
      </c>
    </row>
    <row r="76" spans="1:3" x14ac:dyDescent="0.25">
      <c r="A76" t="s">
        <v>154</v>
      </c>
      <c r="B76">
        <v>-6.6421999999999999</v>
      </c>
      <c r="C76">
        <v>-4.9816000000000003</v>
      </c>
    </row>
    <row r="77" spans="1:3" x14ac:dyDescent="0.25">
      <c r="A77" t="s">
        <v>155</v>
      </c>
      <c r="B77">
        <v>-1.9573</v>
      </c>
      <c r="C77">
        <v>-11.7439</v>
      </c>
    </row>
    <row r="78" spans="1:3" x14ac:dyDescent="0.25">
      <c r="A78" t="s">
        <v>156</v>
      </c>
      <c r="B78">
        <v>0</v>
      </c>
      <c r="C78">
        <v>-7.0944000000000003</v>
      </c>
    </row>
    <row r="79" spans="1:3" x14ac:dyDescent="0.25">
      <c r="A79" t="s">
        <v>152</v>
      </c>
      <c r="B79">
        <v>-6.9</v>
      </c>
      <c r="C79">
        <v>-6.3</v>
      </c>
    </row>
    <row r="80" spans="1:3" x14ac:dyDescent="0.25">
      <c r="A80" t="s">
        <v>408</v>
      </c>
      <c r="B80">
        <v>-28.59</v>
      </c>
      <c r="C80">
        <v>-17.79</v>
      </c>
    </row>
    <row r="81" spans="1:3" x14ac:dyDescent="0.25">
      <c r="A81" t="s">
        <v>430</v>
      </c>
      <c r="B81">
        <v>38.4908</v>
      </c>
      <c r="C81">
        <v>-39.422499999999999</v>
      </c>
    </row>
    <row r="82" spans="1:3" x14ac:dyDescent="0.25">
      <c r="A82" t="s">
        <v>157</v>
      </c>
      <c r="B82">
        <v>-13.6431</v>
      </c>
      <c r="C82">
        <v>-28.923300000000001</v>
      </c>
    </row>
    <row r="83" spans="1:3" x14ac:dyDescent="0.25">
      <c r="A83" t="s">
        <v>465</v>
      </c>
      <c r="B83">
        <v>-15.51</v>
      </c>
      <c r="C83">
        <v>-12.87</v>
      </c>
    </row>
    <row r="84" spans="1:3" x14ac:dyDescent="0.25">
      <c r="A84" t="s">
        <v>409</v>
      </c>
      <c r="B84">
        <v>-0.63719999999999999</v>
      </c>
      <c r="C84">
        <v>-9.2166999999999994</v>
      </c>
    </row>
    <row r="85" spans="1:3" x14ac:dyDescent="0.25">
      <c r="A85" t="s">
        <v>439</v>
      </c>
      <c r="B85">
        <v>21.722999999999999</v>
      </c>
      <c r="C85">
        <v>-37.920099999999998</v>
      </c>
    </row>
    <row r="86" spans="1:3" x14ac:dyDescent="0.25">
      <c r="A86" t="s">
        <v>410</v>
      </c>
      <c r="B86">
        <v>-7.8333000000000004</v>
      </c>
      <c r="C86">
        <v>-6.5</v>
      </c>
    </row>
    <row r="87" spans="1:3" x14ac:dyDescent="0.25">
      <c r="A87" t="s">
        <v>411</v>
      </c>
      <c r="B87">
        <v>-0.5222</v>
      </c>
      <c r="C87">
        <v>-0.43330000000000002</v>
      </c>
    </row>
    <row r="88" spans="1:3" x14ac:dyDescent="0.25">
      <c r="A88" t="s">
        <v>412</v>
      </c>
      <c r="B88">
        <v>1.2966</v>
      </c>
      <c r="C88">
        <v>-3.7717000000000001</v>
      </c>
    </row>
    <row r="89" spans="1:3" x14ac:dyDescent="0.25">
      <c r="A89" t="s">
        <v>466</v>
      </c>
      <c r="B89">
        <v>-4.7392000000000003</v>
      </c>
      <c r="C89">
        <v>-3.9325000000000001</v>
      </c>
    </row>
    <row r="90" spans="1:3" x14ac:dyDescent="0.25">
      <c r="A90" t="s">
        <v>432</v>
      </c>
      <c r="B90">
        <v>-3.9</v>
      </c>
      <c r="C90">
        <v>-3.9</v>
      </c>
    </row>
    <row r="91" spans="1:3" x14ac:dyDescent="0.25">
      <c r="A91" t="s">
        <v>436</v>
      </c>
      <c r="B91">
        <v>-181.98519999999999</v>
      </c>
      <c r="C91">
        <v>-62.674700000000001</v>
      </c>
    </row>
    <row r="92" spans="1:3" x14ac:dyDescent="0.25">
      <c r="A92" t="s">
        <v>131</v>
      </c>
      <c r="B92">
        <v>0.1</v>
      </c>
      <c r="C92">
        <v>-2.16</v>
      </c>
    </row>
    <row r="93" spans="1:3" x14ac:dyDescent="0.25">
      <c r="A93" t="s">
        <v>124</v>
      </c>
      <c r="B93">
        <v>0.3</v>
      </c>
      <c r="C93">
        <v>-15.36</v>
      </c>
    </row>
    <row r="94" spans="1:3" x14ac:dyDescent="0.25">
      <c r="A94" t="s">
        <v>123</v>
      </c>
      <c r="B94">
        <v>-32.04</v>
      </c>
      <c r="C94">
        <v>20.49</v>
      </c>
    </row>
    <row r="95" spans="1:3" x14ac:dyDescent="0.25">
      <c r="A95" t="s">
        <v>437</v>
      </c>
      <c r="B95">
        <v>-19.77</v>
      </c>
      <c r="C95">
        <v>-5.67</v>
      </c>
    </row>
    <row r="96" spans="1:3" x14ac:dyDescent="0.25">
      <c r="A96" t="s">
        <v>116</v>
      </c>
      <c r="B96">
        <v>9.5200000000000007E-2</v>
      </c>
      <c r="C96">
        <v>-10.5204</v>
      </c>
    </row>
    <row r="97" spans="1:3" x14ac:dyDescent="0.25">
      <c r="A97" t="s">
        <v>117</v>
      </c>
      <c r="B97">
        <v>-4.17</v>
      </c>
      <c r="C97">
        <v>-6.54</v>
      </c>
    </row>
    <row r="98" spans="1:3" x14ac:dyDescent="0.25">
      <c r="A98" t="s">
        <v>118</v>
      </c>
      <c r="B98">
        <v>-6.3026</v>
      </c>
      <c r="C98">
        <v>-6.3026</v>
      </c>
    </row>
    <row r="99" spans="1:3" x14ac:dyDescent="0.25">
      <c r="A99" t="s">
        <v>438</v>
      </c>
      <c r="B99">
        <v>-86.88</v>
      </c>
      <c r="C99">
        <v>55.8</v>
      </c>
    </row>
    <row r="100" spans="1:3" x14ac:dyDescent="0.25">
      <c r="A100" t="s">
        <v>132</v>
      </c>
      <c r="B100">
        <v>0.63</v>
      </c>
      <c r="C100">
        <v>-9.27</v>
      </c>
    </row>
    <row r="101" spans="1:3" x14ac:dyDescent="0.25">
      <c r="A101" t="s">
        <v>472</v>
      </c>
      <c r="B101">
        <v>-5.67</v>
      </c>
      <c r="C101">
        <v>-5.58</v>
      </c>
    </row>
    <row r="102" spans="1:3" x14ac:dyDescent="0.25">
      <c r="A102" t="s">
        <v>112</v>
      </c>
      <c r="B102">
        <v>-55.86</v>
      </c>
      <c r="C102">
        <v>18.239999999999998</v>
      </c>
    </row>
    <row r="103" spans="1:3" x14ac:dyDescent="0.25">
      <c r="A103" t="s">
        <v>129</v>
      </c>
      <c r="B103">
        <v>-6.7290000000000001</v>
      </c>
      <c r="C103">
        <v>-9.2311999999999994</v>
      </c>
    </row>
    <row r="104" spans="1:3" x14ac:dyDescent="0.25">
      <c r="A104" t="s">
        <v>119</v>
      </c>
      <c r="B104">
        <v>-5.01</v>
      </c>
      <c r="C104">
        <v>-6.66</v>
      </c>
    </row>
    <row r="105" spans="1:3" x14ac:dyDescent="0.25">
      <c r="A105" t="s">
        <v>115</v>
      </c>
      <c r="B105">
        <v>-18.159199999999998</v>
      </c>
      <c r="C105">
        <v>11.0078</v>
      </c>
    </row>
    <row r="106" spans="1:3" x14ac:dyDescent="0.25">
      <c r="A106" t="s">
        <v>121</v>
      </c>
      <c r="B106">
        <v>-5.3845000000000001</v>
      </c>
      <c r="C106">
        <v>-10.2859</v>
      </c>
    </row>
    <row r="107" spans="1:3" x14ac:dyDescent="0.25">
      <c r="A107" t="s">
        <v>125</v>
      </c>
      <c r="B107">
        <v>-8.07</v>
      </c>
      <c r="C107">
        <v>-7.77</v>
      </c>
    </row>
    <row r="108" spans="1:3" x14ac:dyDescent="0.25">
      <c r="A108" t="s">
        <v>113</v>
      </c>
      <c r="B108">
        <v>-52.18</v>
      </c>
      <c r="C108">
        <v>41.52</v>
      </c>
    </row>
    <row r="109" spans="1:3" x14ac:dyDescent="0.25">
      <c r="A109" t="s">
        <v>168</v>
      </c>
      <c r="B109">
        <v>-16.170000000000002</v>
      </c>
      <c r="C109">
        <v>-15.87</v>
      </c>
    </row>
    <row r="110" spans="1:3" x14ac:dyDescent="0.25">
      <c r="A110" t="s">
        <v>120</v>
      </c>
      <c r="B110">
        <v>-46.7104</v>
      </c>
      <c r="C110">
        <v>16.648199999999999</v>
      </c>
    </row>
    <row r="111" spans="1:3" x14ac:dyDescent="0.25">
      <c r="A111" t="s">
        <v>426</v>
      </c>
      <c r="B111">
        <v>-2.6111</v>
      </c>
      <c r="C111">
        <v>-2.1667000000000001</v>
      </c>
    </row>
    <row r="112" spans="1:3" x14ac:dyDescent="0.25">
      <c r="A112" t="s">
        <v>467</v>
      </c>
      <c r="B112">
        <v>-0.75719999999999998</v>
      </c>
      <c r="C112">
        <v>-0.62829999999999997</v>
      </c>
    </row>
    <row r="113" spans="1:3" x14ac:dyDescent="0.25">
      <c r="A113" t="s">
        <v>468</v>
      </c>
      <c r="B113">
        <v>-0.58750000000000002</v>
      </c>
      <c r="C113">
        <v>-0.48749999999999999</v>
      </c>
    </row>
    <row r="114" spans="1:3" x14ac:dyDescent="0.25">
      <c r="A114" t="s">
        <v>469</v>
      </c>
      <c r="B114">
        <v>-1.9060999999999999</v>
      </c>
      <c r="C114">
        <v>-1.5817000000000001</v>
      </c>
    </row>
    <row r="115" spans="1:3" x14ac:dyDescent="0.25">
      <c r="A115" t="s">
        <v>413</v>
      </c>
      <c r="B115">
        <v>-8.8800000000000004E-2</v>
      </c>
      <c r="C115">
        <v>-0.15459999999999999</v>
      </c>
    </row>
    <row r="116" spans="1:3" x14ac:dyDescent="0.25">
      <c r="A116" t="s">
        <v>159</v>
      </c>
      <c r="B116">
        <v>-3.72</v>
      </c>
      <c r="C116">
        <v>-2.58</v>
      </c>
    </row>
    <row r="117" spans="1:3" x14ac:dyDescent="0.25">
      <c r="A117" t="s">
        <v>414</v>
      </c>
      <c r="B117">
        <v>-2.1097999999999999</v>
      </c>
      <c r="C117">
        <v>-11.515000000000001</v>
      </c>
    </row>
    <row r="118" spans="1:3" x14ac:dyDescent="0.25">
      <c r="A118" t="s">
        <v>158</v>
      </c>
      <c r="B118">
        <v>-13.56</v>
      </c>
      <c r="C118">
        <v>-5.88</v>
      </c>
    </row>
    <row r="119" spans="1:3" x14ac:dyDescent="0.25">
      <c r="A119" t="s">
        <v>470</v>
      </c>
      <c r="B119">
        <v>-0.58750000000000002</v>
      </c>
      <c r="C119">
        <v>-0.48749999999999999</v>
      </c>
    </row>
    <row r="120" spans="1:3" x14ac:dyDescent="0.25">
      <c r="A120" t="s">
        <v>161</v>
      </c>
      <c r="B120">
        <v>-274.2</v>
      </c>
      <c r="C120">
        <v>-295.79999999999899</v>
      </c>
    </row>
    <row r="121" spans="1:3" x14ac:dyDescent="0.25">
      <c r="A121" t="s">
        <v>160</v>
      </c>
      <c r="B121">
        <v>-177</v>
      </c>
      <c r="C121">
        <v>-177</v>
      </c>
    </row>
    <row r="122" spans="1:3" x14ac:dyDescent="0.25">
      <c r="A122" t="s">
        <v>220</v>
      </c>
      <c r="B122">
        <v>-15</v>
      </c>
      <c r="C122">
        <v>-15</v>
      </c>
    </row>
    <row r="123" spans="1:3" x14ac:dyDescent="0.25">
      <c r="A123" t="s">
        <v>440</v>
      </c>
      <c r="B123">
        <v>-1.3643000000000001</v>
      </c>
      <c r="C123">
        <v>-6.0029000000000003</v>
      </c>
    </row>
    <row r="124" spans="1:3" x14ac:dyDescent="0.25">
      <c r="A124" t="s">
        <v>471</v>
      </c>
      <c r="B124">
        <v>-4.7</v>
      </c>
      <c r="C124">
        <v>-3.9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H36" sqref="H36"/>
    </sheetView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N30"/>
  <sheetViews>
    <sheetView workbookViewId="0">
      <selection activeCell="L29" sqref="L29"/>
    </sheetView>
  </sheetViews>
  <sheetFormatPr defaultRowHeight="15" x14ac:dyDescent="0.25"/>
  <cols>
    <col min="2" max="2" width="25.28515625" bestFit="1" customWidth="1"/>
    <col min="3" max="3" width="96.85546875" style="25" bestFit="1" customWidth="1"/>
    <col min="4" max="4" width="18" bestFit="1" customWidth="1"/>
    <col min="8" max="8" width="12.42578125" bestFit="1" customWidth="1"/>
    <col min="10" max="10" width="16.5703125" customWidth="1"/>
  </cols>
  <sheetData>
    <row r="1" spans="1:14" x14ac:dyDescent="0.25">
      <c r="A1" s="23"/>
      <c r="B1" s="24" t="s">
        <v>245</v>
      </c>
      <c r="C1" s="29" t="s">
        <v>246</v>
      </c>
      <c r="G1" s="74" t="s">
        <v>299</v>
      </c>
      <c r="H1" s="74"/>
      <c r="I1" s="74"/>
      <c r="J1" s="74"/>
    </row>
    <row r="2" spans="1:14" x14ac:dyDescent="0.25">
      <c r="B2" s="34">
        <v>1</v>
      </c>
      <c r="C2" s="34" t="s">
        <v>241</v>
      </c>
      <c r="G2" s="75" t="s">
        <v>300</v>
      </c>
      <c r="H2" s="75"/>
      <c r="I2" s="75"/>
      <c r="J2" s="75"/>
    </row>
    <row r="3" spans="1:14" x14ac:dyDescent="0.25">
      <c r="B3" s="34">
        <v>2</v>
      </c>
      <c r="C3" s="34" t="s">
        <v>283</v>
      </c>
    </row>
    <row r="4" spans="1:14" ht="30" x14ac:dyDescent="0.25">
      <c r="B4" s="34">
        <v>3</v>
      </c>
      <c r="C4" s="34" t="s">
        <v>284</v>
      </c>
    </row>
    <row r="5" spans="1:14" x14ac:dyDescent="0.25">
      <c r="B5" s="34">
        <v>4</v>
      </c>
      <c r="C5" s="1" t="s">
        <v>285</v>
      </c>
    </row>
    <row r="6" spans="1:14" x14ac:dyDescent="0.25">
      <c r="B6" s="34">
        <v>5</v>
      </c>
      <c r="C6" s="1" t="s">
        <v>286</v>
      </c>
    </row>
    <row r="7" spans="1:14" ht="30" x14ac:dyDescent="0.25">
      <c r="B7" s="34">
        <v>6</v>
      </c>
      <c r="C7" s="34" t="s">
        <v>287</v>
      </c>
    </row>
    <row r="8" spans="1:14" ht="30" x14ac:dyDescent="0.25">
      <c r="B8" s="34">
        <v>7</v>
      </c>
      <c r="C8" s="34" t="s">
        <v>242</v>
      </c>
      <c r="H8" s="67" t="s">
        <v>307</v>
      </c>
      <c r="I8" s="67"/>
      <c r="J8" s="67"/>
      <c r="K8" s="67"/>
      <c r="L8" s="67"/>
      <c r="M8" s="67"/>
      <c r="N8" s="67"/>
    </row>
    <row r="9" spans="1:14" x14ac:dyDescent="0.25">
      <c r="B9" s="34">
        <v>8</v>
      </c>
      <c r="C9" s="31" t="s">
        <v>243</v>
      </c>
      <c r="H9" s="30" t="s">
        <v>302</v>
      </c>
      <c r="I9" s="68" t="s">
        <v>301</v>
      </c>
      <c r="J9" s="69"/>
      <c r="K9" s="69"/>
      <c r="L9" s="69"/>
      <c r="M9" s="69"/>
      <c r="N9" s="70"/>
    </row>
    <row r="10" spans="1:14" x14ac:dyDescent="0.25">
      <c r="B10" s="34">
        <v>9</v>
      </c>
      <c r="C10" s="31" t="s">
        <v>244</v>
      </c>
      <c r="H10" s="30" t="s">
        <v>303</v>
      </c>
      <c r="I10" s="71" t="s">
        <v>304</v>
      </c>
      <c r="J10" s="72"/>
      <c r="K10" s="72"/>
      <c r="L10" s="72"/>
      <c r="M10" s="72"/>
      <c r="N10" s="73"/>
    </row>
    <row r="11" spans="1:14" x14ac:dyDescent="0.25">
      <c r="H11" s="30" t="s">
        <v>305</v>
      </c>
      <c r="I11" s="71" t="s">
        <v>306</v>
      </c>
      <c r="J11" s="72"/>
      <c r="K11" s="72"/>
      <c r="L11" s="72"/>
      <c r="M11" s="72"/>
      <c r="N11" s="73"/>
    </row>
    <row r="13" spans="1:14" x14ac:dyDescent="0.25">
      <c r="B13" s="24" t="s">
        <v>270</v>
      </c>
      <c r="C13" s="24" t="s">
        <v>246</v>
      </c>
      <c r="D13" s="24" t="s">
        <v>292</v>
      </c>
    </row>
    <row r="14" spans="1:14" x14ac:dyDescent="0.25">
      <c r="B14" s="1" t="s">
        <v>247</v>
      </c>
      <c r="C14" s="26" t="s">
        <v>259</v>
      </c>
      <c r="D14" s="1" t="s">
        <v>288</v>
      </c>
    </row>
    <row r="15" spans="1:14" x14ac:dyDescent="0.25">
      <c r="B15" s="36" t="s">
        <v>248</v>
      </c>
      <c r="C15" s="36" t="s">
        <v>260</v>
      </c>
      <c r="D15" s="36" t="s">
        <v>288</v>
      </c>
    </row>
    <row r="16" spans="1:14" x14ac:dyDescent="0.25">
      <c r="B16" s="6" t="s">
        <v>249</v>
      </c>
      <c r="C16" s="6" t="s">
        <v>261</v>
      </c>
      <c r="D16" s="36" t="s">
        <v>288</v>
      </c>
    </row>
    <row r="17" spans="2:4" x14ac:dyDescent="0.25">
      <c r="B17" s="6" t="s">
        <v>250</v>
      </c>
      <c r="C17" s="6" t="s">
        <v>262</v>
      </c>
      <c r="D17" s="36" t="s">
        <v>288</v>
      </c>
    </row>
    <row r="18" spans="2:4" x14ac:dyDescent="0.25">
      <c r="B18" s="6" t="s">
        <v>251</v>
      </c>
      <c r="C18" s="6" t="s">
        <v>263</v>
      </c>
      <c r="D18" s="3" t="s">
        <v>289</v>
      </c>
    </row>
    <row r="19" spans="2:4" x14ac:dyDescent="0.25">
      <c r="B19" s="6" t="s">
        <v>252</v>
      </c>
      <c r="C19" s="6" t="s">
        <v>264</v>
      </c>
      <c r="D19" s="3" t="s">
        <v>289</v>
      </c>
    </row>
    <row r="20" spans="2:4" x14ac:dyDescent="0.25">
      <c r="B20" s="6" t="s">
        <v>253</v>
      </c>
      <c r="C20" s="6" t="s">
        <v>298</v>
      </c>
      <c r="D20" s="36" t="s">
        <v>288</v>
      </c>
    </row>
    <row r="21" spans="2:4" x14ac:dyDescent="0.25">
      <c r="B21" s="6" t="s">
        <v>254</v>
      </c>
      <c r="C21" s="6" t="s">
        <v>265</v>
      </c>
      <c r="D21" s="36" t="s">
        <v>288</v>
      </c>
    </row>
    <row r="22" spans="2:4" x14ac:dyDescent="0.25">
      <c r="B22" s="6" t="s">
        <v>293</v>
      </c>
      <c r="C22" s="6" t="s">
        <v>294</v>
      </c>
      <c r="D22" s="3" t="s">
        <v>289</v>
      </c>
    </row>
    <row r="23" spans="2:4" x14ac:dyDescent="0.25">
      <c r="B23" s="6" t="s">
        <v>255</v>
      </c>
      <c r="C23" s="6" t="s">
        <v>266</v>
      </c>
      <c r="D23" s="36" t="s">
        <v>288</v>
      </c>
    </row>
    <row r="24" spans="2:4" x14ac:dyDescent="0.25">
      <c r="B24" s="6" t="s">
        <v>256</v>
      </c>
      <c r="C24" s="6" t="s">
        <v>267</v>
      </c>
      <c r="D24" s="36" t="s">
        <v>288</v>
      </c>
    </row>
    <row r="25" spans="2:4" x14ac:dyDescent="0.25">
      <c r="B25" s="6" t="s">
        <v>257</v>
      </c>
      <c r="C25" s="6" t="s">
        <v>268</v>
      </c>
      <c r="D25" s="3" t="s">
        <v>289</v>
      </c>
    </row>
    <row r="26" spans="2:4" x14ac:dyDescent="0.25">
      <c r="B26" s="6" t="s">
        <v>258</v>
      </c>
      <c r="C26" s="6" t="s">
        <v>269</v>
      </c>
      <c r="D26" s="3" t="s">
        <v>289</v>
      </c>
    </row>
    <row r="27" spans="2:4" x14ac:dyDescent="0.25">
      <c r="B27" s="6" t="s">
        <v>290</v>
      </c>
      <c r="C27" s="6" t="s">
        <v>291</v>
      </c>
      <c r="D27" s="3" t="s">
        <v>289</v>
      </c>
    </row>
    <row r="28" spans="2:4" x14ac:dyDescent="0.25">
      <c r="B28" s="35" t="s">
        <v>295</v>
      </c>
      <c r="C28" s="6" t="s">
        <v>296</v>
      </c>
      <c r="D28" s="6" t="s">
        <v>288</v>
      </c>
    </row>
    <row r="29" spans="2:4" x14ac:dyDescent="0.25">
      <c r="B29" s="6" t="s">
        <v>308</v>
      </c>
      <c r="C29" s="36" t="s">
        <v>309</v>
      </c>
      <c r="D29" s="3" t="s">
        <v>288</v>
      </c>
    </row>
    <row r="30" spans="2:4" x14ac:dyDescent="0.25">
      <c r="B30" s="36" t="s">
        <v>310</v>
      </c>
      <c r="C30" s="36" t="s">
        <v>311</v>
      </c>
      <c r="D30" s="3" t="s">
        <v>288</v>
      </c>
    </row>
  </sheetData>
  <mergeCells count="6">
    <mergeCell ref="H8:N8"/>
    <mergeCell ref="I9:N9"/>
    <mergeCell ref="I10:N10"/>
    <mergeCell ref="I11:N11"/>
    <mergeCell ref="G1:J1"/>
    <mergeCell ref="G2:J2"/>
  </mergeCells>
  <hyperlinks>
    <hyperlink ref="I9" r:id="rId1"/>
  </hyperlinks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1:M23"/>
  <sheetViews>
    <sheetView workbookViewId="0">
      <selection activeCell="C10" sqref="C10"/>
    </sheetView>
  </sheetViews>
  <sheetFormatPr defaultColWidth="9.140625" defaultRowHeight="15" x14ac:dyDescent="0.25"/>
  <cols>
    <col min="1" max="1" width="9.140625" style="33"/>
    <col min="2" max="2" width="12.85546875" style="33" bestFit="1" customWidth="1"/>
    <col min="3" max="3" width="12.5703125" style="33" customWidth="1"/>
    <col min="4" max="4" width="13.85546875" style="33" customWidth="1"/>
    <col min="5" max="6" width="9.140625" style="33"/>
    <col min="7" max="7" width="15" style="33" bestFit="1" customWidth="1"/>
    <col min="8" max="8" width="43.85546875" style="33" customWidth="1"/>
    <col min="9" max="9" width="9.140625" style="33"/>
    <col min="10" max="11" width="1.42578125" style="33" customWidth="1"/>
    <col min="12" max="16384" width="9.140625" style="33"/>
  </cols>
  <sheetData>
    <row r="1" spans="2:13" ht="18.75" x14ac:dyDescent="0.3">
      <c r="B1" s="77" t="s">
        <v>281</v>
      </c>
      <c r="C1" s="77"/>
      <c r="D1" s="77"/>
    </row>
    <row r="2" spans="2:13" ht="18.75" customHeight="1" x14ac:dyDescent="0.3">
      <c r="B2" s="39" t="s">
        <v>312</v>
      </c>
      <c r="C2" s="39" t="s">
        <v>313</v>
      </c>
      <c r="D2" s="39" t="s">
        <v>314</v>
      </c>
      <c r="G2" s="76" t="s">
        <v>297</v>
      </c>
      <c r="H2" s="76"/>
      <c r="I2" s="76"/>
      <c r="J2" s="76"/>
      <c r="K2" s="76"/>
    </row>
    <row r="3" spans="2:13" x14ac:dyDescent="0.25">
      <c r="B3" s="32" t="s">
        <v>165</v>
      </c>
      <c r="C3" s="41">
        <v>0.1</v>
      </c>
      <c r="D3" s="41">
        <v>0.1</v>
      </c>
      <c r="G3" s="76"/>
      <c r="H3" s="76"/>
      <c r="I3" s="76"/>
      <c r="J3" s="76"/>
      <c r="K3" s="76"/>
    </row>
    <row r="4" spans="2:13" x14ac:dyDescent="0.25">
      <c r="B4" s="32" t="s">
        <v>167</v>
      </c>
      <c r="C4" s="41">
        <v>0.3</v>
      </c>
      <c r="D4" s="41">
        <v>0.1</v>
      </c>
      <c r="G4" s="76"/>
      <c r="H4" s="76"/>
      <c r="I4" s="76"/>
      <c r="J4" s="76"/>
      <c r="K4" s="76"/>
    </row>
    <row r="5" spans="2:13" x14ac:dyDescent="0.25">
      <c r="B5" s="32" t="s">
        <v>164</v>
      </c>
      <c r="C5" s="41">
        <v>0.1</v>
      </c>
      <c r="D5" s="41">
        <v>0.1</v>
      </c>
      <c r="G5" s="76"/>
      <c r="H5" s="76"/>
      <c r="I5" s="76"/>
      <c r="J5" s="76"/>
      <c r="K5" s="76"/>
    </row>
    <row r="6" spans="2:13" x14ac:dyDescent="0.25">
      <c r="B6" s="32" t="s">
        <v>163</v>
      </c>
      <c r="C6" s="41">
        <v>0.1</v>
      </c>
      <c r="D6" s="41">
        <v>0.1</v>
      </c>
    </row>
    <row r="7" spans="2:13" x14ac:dyDescent="0.25">
      <c r="B7" s="32" t="s">
        <v>170</v>
      </c>
      <c r="C7" s="41">
        <v>1</v>
      </c>
      <c r="D7" s="41">
        <v>1</v>
      </c>
    </row>
    <row r="8" spans="2:13" x14ac:dyDescent="0.25">
      <c r="B8" s="32" t="s">
        <v>240</v>
      </c>
      <c r="C8" s="41">
        <v>0.1</v>
      </c>
      <c r="D8" s="41">
        <v>0.1</v>
      </c>
      <c r="G8" s="78" t="s">
        <v>371</v>
      </c>
      <c r="H8" s="78"/>
    </row>
    <row r="9" spans="2:13" ht="30" x14ac:dyDescent="0.25">
      <c r="B9" s="32" t="s">
        <v>418</v>
      </c>
      <c r="C9" s="41">
        <v>0.2</v>
      </c>
      <c r="D9" s="41">
        <v>0.2</v>
      </c>
      <c r="G9" s="54" t="s">
        <v>369</v>
      </c>
      <c r="H9" s="53" t="s">
        <v>370</v>
      </c>
      <c r="I9" s="52"/>
      <c r="J9" s="52"/>
      <c r="K9" s="52"/>
      <c r="L9" s="52"/>
      <c r="M9" s="52"/>
    </row>
    <row r="10" spans="2:13" ht="30" x14ac:dyDescent="0.25">
      <c r="B10" s="32" t="s">
        <v>419</v>
      </c>
      <c r="C10" s="41">
        <v>0.2</v>
      </c>
      <c r="D10" s="41">
        <v>0.2</v>
      </c>
      <c r="G10" s="54" t="s">
        <v>388</v>
      </c>
      <c r="H10" s="53" t="s">
        <v>389</v>
      </c>
      <c r="I10" s="52"/>
      <c r="J10" s="52"/>
      <c r="K10" s="52"/>
      <c r="L10" s="52"/>
      <c r="M10" s="52"/>
    </row>
    <row r="11" spans="2:13" x14ac:dyDescent="0.25">
      <c r="B11" s="60" t="s">
        <v>240</v>
      </c>
      <c r="C11" s="41">
        <v>0.2</v>
      </c>
      <c r="D11" s="41">
        <v>0.2</v>
      </c>
      <c r="G11" s="52"/>
      <c r="H11" s="52"/>
      <c r="I11" s="52"/>
      <c r="J11" s="52"/>
      <c r="K11" s="52"/>
      <c r="L11" s="52"/>
      <c r="M11" s="52"/>
    </row>
    <row r="12" spans="2:13" x14ac:dyDescent="0.25">
      <c r="G12" s="52"/>
      <c r="H12" s="52"/>
      <c r="I12" s="52"/>
      <c r="J12" s="52"/>
      <c r="K12" s="52"/>
      <c r="L12" s="52"/>
      <c r="M12" s="52"/>
    </row>
    <row r="13" spans="2:13" x14ac:dyDescent="0.25">
      <c r="G13" s="52"/>
      <c r="H13" s="52"/>
      <c r="I13" s="52"/>
      <c r="J13" s="52"/>
      <c r="K13" s="52"/>
      <c r="L13" s="52"/>
      <c r="M13" s="52"/>
    </row>
    <row r="14" spans="2:13" x14ac:dyDescent="0.25">
      <c r="G14" s="52"/>
      <c r="H14" s="52"/>
      <c r="I14" s="52"/>
      <c r="J14" s="52"/>
      <c r="K14" s="52"/>
      <c r="L14" s="52"/>
      <c r="M14" s="52"/>
    </row>
    <row r="15" spans="2:13" x14ac:dyDescent="0.25">
      <c r="G15" s="52"/>
      <c r="H15" s="52"/>
      <c r="I15" s="52"/>
      <c r="J15" s="52"/>
      <c r="K15" s="52"/>
      <c r="L15" s="52"/>
      <c r="M15" s="52"/>
    </row>
    <row r="16" spans="2:13" x14ac:dyDescent="0.25">
      <c r="G16" s="52"/>
      <c r="H16" s="52"/>
      <c r="I16" s="52"/>
      <c r="J16" s="52"/>
      <c r="K16" s="52"/>
      <c r="L16" s="52"/>
      <c r="M16" s="52"/>
    </row>
    <row r="17" spans="7:13" x14ac:dyDescent="0.25">
      <c r="G17" s="52"/>
      <c r="H17" s="52"/>
      <c r="I17" s="52"/>
      <c r="J17" s="52"/>
      <c r="K17" s="52"/>
      <c r="L17" s="52"/>
      <c r="M17" s="52"/>
    </row>
    <row r="18" spans="7:13" x14ac:dyDescent="0.25">
      <c r="G18" s="52"/>
      <c r="H18" s="52"/>
      <c r="I18" s="52"/>
      <c r="J18" s="52"/>
      <c r="K18" s="52"/>
      <c r="L18" s="52"/>
      <c r="M18" s="52"/>
    </row>
    <row r="19" spans="7:13" x14ac:dyDescent="0.25">
      <c r="G19" s="52"/>
      <c r="H19" s="52"/>
      <c r="I19" s="52"/>
      <c r="J19" s="52"/>
      <c r="K19" s="52"/>
      <c r="L19" s="52"/>
      <c r="M19" s="52"/>
    </row>
    <row r="20" spans="7:13" x14ac:dyDescent="0.25">
      <c r="G20" s="52"/>
      <c r="H20" s="52"/>
      <c r="I20" s="52"/>
      <c r="J20" s="52"/>
      <c r="K20" s="52"/>
      <c r="L20" s="52"/>
      <c r="M20" s="52"/>
    </row>
    <row r="21" spans="7:13" x14ac:dyDescent="0.25">
      <c r="G21" s="52"/>
      <c r="H21" s="52"/>
      <c r="I21" s="52"/>
      <c r="J21" s="52"/>
      <c r="K21" s="52"/>
      <c r="L21" s="52"/>
      <c r="M21" s="52"/>
    </row>
    <row r="22" spans="7:13" x14ac:dyDescent="0.25">
      <c r="G22" s="52"/>
      <c r="H22" s="52"/>
      <c r="I22" s="52"/>
      <c r="J22" s="52"/>
      <c r="K22" s="52"/>
      <c r="L22" s="52"/>
      <c r="M22" s="52"/>
    </row>
    <row r="23" spans="7:13" x14ac:dyDescent="0.25">
      <c r="G23" s="52"/>
      <c r="H23" s="52"/>
      <c r="I23" s="52"/>
      <c r="J23" s="52"/>
      <c r="K23" s="52"/>
      <c r="L23" s="52"/>
      <c r="M23" s="52"/>
    </row>
  </sheetData>
  <mergeCells count="3">
    <mergeCell ref="G2:K5"/>
    <mergeCell ref="B1:D1"/>
    <mergeCell ref="G8:H8"/>
  </mergeCell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109"/>
  <sheetViews>
    <sheetView topLeftCell="A82" workbookViewId="0">
      <selection activeCell="K86" sqref="K86"/>
    </sheetView>
  </sheetViews>
  <sheetFormatPr defaultRowHeight="15" x14ac:dyDescent="0.25"/>
  <cols>
    <col min="1" max="1" width="21.7109375" style="9" bestFit="1" customWidth="1"/>
    <col min="2" max="2" width="17.42578125" style="9" bestFit="1" customWidth="1"/>
    <col min="3" max="3" width="12.85546875" style="9" bestFit="1" customWidth="1"/>
  </cols>
  <sheetData>
    <row r="1" spans="1:9" x14ac:dyDescent="0.25">
      <c r="A1" s="79" t="s">
        <v>315</v>
      </c>
      <c r="B1" s="79"/>
      <c r="C1" s="79"/>
      <c r="D1" s="79" t="s">
        <v>316</v>
      </c>
      <c r="E1" s="79"/>
      <c r="F1" s="79" t="s">
        <v>317</v>
      </c>
      <c r="G1" s="79"/>
      <c r="H1" s="79" t="s">
        <v>318</v>
      </c>
      <c r="I1" s="79"/>
    </row>
    <row r="2" spans="1:9" x14ac:dyDescent="0.25">
      <c r="A2" s="12" t="s">
        <v>177</v>
      </c>
      <c r="B2" s="12" t="s">
        <v>176</v>
      </c>
      <c r="C2" s="12" t="s">
        <v>173</v>
      </c>
      <c r="D2" s="12" t="s">
        <v>319</v>
      </c>
      <c r="E2" s="12" t="s">
        <v>320</v>
      </c>
      <c r="F2" s="12" t="s">
        <v>319</v>
      </c>
      <c r="G2" s="12" t="s">
        <v>320</v>
      </c>
      <c r="H2" s="12" t="s">
        <v>319</v>
      </c>
      <c r="I2" s="12" t="s">
        <v>320</v>
      </c>
    </row>
    <row r="3" spans="1:9" x14ac:dyDescent="0.25">
      <c r="A3" s="37" t="s">
        <v>47</v>
      </c>
      <c r="B3" s="3" t="s">
        <v>143</v>
      </c>
      <c r="C3" s="38" t="s">
        <v>165</v>
      </c>
      <c r="D3" s="30" t="str">
        <f>IFERROR(VLOOKUP(Working!A3,Raw_Data!A:A,2,0),"-")</f>
        <v>-</v>
      </c>
      <c r="E3" s="30" t="str">
        <f>IFERROR(VLOOKUP(Working!A3,Raw_Data!A:A,3,0),"-")</f>
        <v>-</v>
      </c>
      <c r="F3" s="30">
        <f>IFERROR(VLOOKUP(B3,Processed_Data!A:C,2,0),"-")</f>
        <v>-2.1890000000000001</v>
      </c>
      <c r="G3" s="30">
        <f>IFERROR(VLOOKUP(B3,Processed_Data!A:C,3,0),"-")</f>
        <v>-0.79199999999999993</v>
      </c>
      <c r="H3" s="30" t="str">
        <f>IFERROR((D3-F3)/D3,"-")</f>
        <v>-</v>
      </c>
      <c r="I3" s="30" t="str">
        <f>IFERROR((E3-G3)/E3,"-")</f>
        <v>-</v>
      </c>
    </row>
    <row r="4" spans="1:9" x14ac:dyDescent="0.25">
      <c r="A4" s="37" t="s">
        <v>53</v>
      </c>
      <c r="B4" s="3" t="s">
        <v>149</v>
      </c>
      <c r="C4" s="38" t="s">
        <v>165</v>
      </c>
      <c r="D4" s="30" t="str">
        <f>IFERROR(VLOOKUP(Working!A4,Raw_Data!A:A,2,0),"-")</f>
        <v>-</v>
      </c>
      <c r="E4" s="30" t="str">
        <f>IFERROR(VLOOKUP(Working!A4,Raw_Data!A:A,3,0),"-")</f>
        <v>-</v>
      </c>
      <c r="F4" s="30">
        <f>IFERROR(VLOOKUP(B4,Processed_Data!A:C,2,0),"-")</f>
        <v>0.41400000000000003</v>
      </c>
      <c r="G4" s="30">
        <f>IFERROR(VLOOKUP(B4,Processed_Data!A:C,3,0),"-")</f>
        <v>-2.9369999999999998</v>
      </c>
      <c r="H4" s="30" t="str">
        <f t="shared" ref="H4:H67" si="0">IFERROR((D4-F4)/D4,"-")</f>
        <v>-</v>
      </c>
      <c r="I4" s="30" t="str">
        <f t="shared" ref="I4:I67" si="1">IFERROR((E4-G4)/E4,"-")</f>
        <v>-</v>
      </c>
    </row>
    <row r="5" spans="1:9" x14ac:dyDescent="0.25">
      <c r="A5" s="37" t="s">
        <v>51</v>
      </c>
      <c r="B5" s="3" t="s">
        <v>147</v>
      </c>
      <c r="C5" s="38" t="s">
        <v>165</v>
      </c>
      <c r="D5" s="30" t="str">
        <f>IFERROR(VLOOKUP(Working!A5,Raw_Data!A:A,2,0),"-")</f>
        <v>-</v>
      </c>
      <c r="E5" s="30" t="str">
        <f>IFERROR(VLOOKUP(Working!A5,Raw_Data!A:A,3,0),"-")</f>
        <v>-</v>
      </c>
      <c r="F5" s="30">
        <f>IFERROR(VLOOKUP(B5,Processed_Data!A:C,2,0),"-")</f>
        <v>-0.84699999999999998</v>
      </c>
      <c r="G5" s="30">
        <f>IFERROR(VLOOKUP(B5,Processed_Data!A:C,3,0),"-")</f>
        <v>-1.694</v>
      </c>
      <c r="H5" s="30" t="str">
        <f t="shared" si="0"/>
        <v>-</v>
      </c>
      <c r="I5" s="30" t="str">
        <f t="shared" si="1"/>
        <v>-</v>
      </c>
    </row>
    <row r="6" spans="1:9" x14ac:dyDescent="0.25">
      <c r="A6" s="37" t="s">
        <v>45</v>
      </c>
      <c r="B6" s="3" t="s">
        <v>141</v>
      </c>
      <c r="C6" s="38" t="s">
        <v>165</v>
      </c>
      <c r="D6" s="30" t="str">
        <f>IFERROR(VLOOKUP(Working!A6,Raw_Data!A:A,2,0),"-")</f>
        <v>-</v>
      </c>
      <c r="E6" s="30" t="str">
        <f>IFERROR(VLOOKUP(Working!A6,Raw_Data!A:A,3,0),"-")</f>
        <v>-</v>
      </c>
      <c r="F6" s="30">
        <f>IFERROR(VLOOKUP(B6,Processed_Data!A:C,2,0),"-")</f>
        <v>-2.1779999999999999</v>
      </c>
      <c r="G6" s="30">
        <f>IFERROR(VLOOKUP(B6,Processed_Data!A:C,3,0),"-")</f>
        <v>-1.2429999999999999</v>
      </c>
      <c r="H6" s="30" t="str">
        <f t="shared" si="0"/>
        <v>-</v>
      </c>
      <c r="I6" s="30" t="str">
        <f t="shared" si="1"/>
        <v>-</v>
      </c>
    </row>
    <row r="7" spans="1:9" x14ac:dyDescent="0.25">
      <c r="A7" s="37" t="s">
        <v>46</v>
      </c>
      <c r="B7" s="3" t="s">
        <v>142</v>
      </c>
      <c r="C7" s="38" t="s">
        <v>165</v>
      </c>
      <c r="D7" s="30" t="str">
        <f>IFERROR(VLOOKUP(Working!A7,Raw_Data!A:A,2,0),"-")</f>
        <v>-</v>
      </c>
      <c r="E7" s="30" t="str">
        <f>IFERROR(VLOOKUP(Working!A7,Raw_Data!A:A,3,0),"-")</f>
        <v>-</v>
      </c>
      <c r="F7" s="30">
        <f>IFERROR(VLOOKUP(B7,Processed_Data!A:C,2,0),"-")</f>
        <v>-2.7829999999999999</v>
      </c>
      <c r="G7" s="30">
        <f>IFERROR(VLOOKUP(B7,Processed_Data!A:C,3,0),"-")</f>
        <v>-1.65</v>
      </c>
      <c r="H7" s="30" t="str">
        <f t="shared" si="0"/>
        <v>-</v>
      </c>
      <c r="I7" s="30" t="str">
        <f t="shared" si="1"/>
        <v>-</v>
      </c>
    </row>
    <row r="8" spans="1:9" x14ac:dyDescent="0.25">
      <c r="A8" s="37" t="s">
        <v>57</v>
      </c>
      <c r="B8" s="3" t="s">
        <v>153</v>
      </c>
      <c r="C8" s="38" t="s">
        <v>165</v>
      </c>
      <c r="D8" s="30" t="str">
        <f>IFERROR(VLOOKUP(Working!A8,Raw_Data!A:A,2,0),"-")</f>
        <v>-</v>
      </c>
      <c r="E8" s="30" t="str">
        <f>IFERROR(VLOOKUP(Working!A8,Raw_Data!A:A,3,0),"-")</f>
        <v>-</v>
      </c>
      <c r="F8" s="30">
        <f>IFERROR(VLOOKUP(B8,Processed_Data!A:C,2,0),"-")</f>
        <v>-2.6070000000000002</v>
      </c>
      <c r="G8" s="30">
        <f>IFERROR(VLOOKUP(B8,Processed_Data!A:C,3,0),"-")</f>
        <v>-1.8479999999999999</v>
      </c>
      <c r="H8" s="30" t="str">
        <f t="shared" si="0"/>
        <v>-</v>
      </c>
      <c r="I8" s="30" t="str">
        <f t="shared" si="1"/>
        <v>-</v>
      </c>
    </row>
    <row r="9" spans="1:9" x14ac:dyDescent="0.25">
      <c r="A9" s="37" t="s">
        <v>52</v>
      </c>
      <c r="B9" s="3" t="s">
        <v>148</v>
      </c>
      <c r="C9" s="38" t="s">
        <v>165</v>
      </c>
      <c r="D9" s="30" t="str">
        <f>IFERROR(VLOOKUP(Working!A9,Raw_Data!A:A,2,0),"-")</f>
        <v>-</v>
      </c>
      <c r="E9" s="30" t="str">
        <f>IFERROR(VLOOKUP(Working!A9,Raw_Data!A:A,3,0),"-")</f>
        <v>-</v>
      </c>
      <c r="F9" s="30">
        <f>IFERROR(VLOOKUP(B9,Processed_Data!A:C,2,0),"-")</f>
        <v>0.75600000000000001</v>
      </c>
      <c r="G9" s="30">
        <f>IFERROR(VLOOKUP(B9,Processed_Data!A:C,3,0),"-")</f>
        <v>-3.6850000000000001</v>
      </c>
      <c r="H9" s="30" t="str">
        <f t="shared" si="0"/>
        <v>-</v>
      </c>
      <c r="I9" s="30" t="str">
        <f t="shared" si="1"/>
        <v>-</v>
      </c>
    </row>
    <row r="10" spans="1:9" x14ac:dyDescent="0.25">
      <c r="A10" s="37" t="s">
        <v>48</v>
      </c>
      <c r="B10" s="3" t="s">
        <v>144</v>
      </c>
      <c r="C10" s="38" t="s">
        <v>165</v>
      </c>
      <c r="D10" s="30" t="str">
        <f>IFERROR(VLOOKUP(Working!A10,Raw_Data!A:A,2,0),"-")</f>
        <v>-</v>
      </c>
      <c r="E10" s="30" t="str">
        <f>IFERROR(VLOOKUP(Working!A10,Raw_Data!A:A,3,0),"-")</f>
        <v>-</v>
      </c>
      <c r="F10" s="30">
        <f>IFERROR(VLOOKUP(B10,Processed_Data!A:C,2,0),"-")</f>
        <v>-0.27500000000000002</v>
      </c>
      <c r="G10" s="30">
        <f>IFERROR(VLOOKUP(B10,Processed_Data!A:C,3,0),"-")</f>
        <v>-2.4200000000000004</v>
      </c>
      <c r="H10" s="30" t="str">
        <f t="shared" si="0"/>
        <v>-</v>
      </c>
      <c r="I10" s="30" t="str">
        <f t="shared" si="1"/>
        <v>-</v>
      </c>
    </row>
    <row r="11" spans="1:9" x14ac:dyDescent="0.25">
      <c r="A11" s="37" t="s">
        <v>9</v>
      </c>
      <c r="B11" s="3" t="s">
        <v>105</v>
      </c>
      <c r="C11" s="38" t="s">
        <v>165</v>
      </c>
      <c r="D11" s="30" t="str">
        <f>IFERROR(VLOOKUP(Working!A11,Raw_Data!A:A,2,0),"-")</f>
        <v>-</v>
      </c>
      <c r="E11" s="30" t="str">
        <f>IFERROR(VLOOKUP(Working!A11,Raw_Data!A:A,3,0),"-")</f>
        <v>-</v>
      </c>
      <c r="F11" s="30">
        <f>IFERROR(VLOOKUP(B11,Processed_Data!A:C,2,0),"-")</f>
        <v>7.1999999999999995E-2</v>
      </c>
      <c r="G11" s="30">
        <f>IFERROR(VLOOKUP(B11,Processed_Data!A:C,3,0),"-")</f>
        <v>-1.8039999999999998</v>
      </c>
      <c r="H11" s="30" t="str">
        <f t="shared" si="0"/>
        <v>-</v>
      </c>
      <c r="I11" s="30" t="str">
        <f t="shared" si="1"/>
        <v>-</v>
      </c>
    </row>
    <row r="12" spans="1:9" x14ac:dyDescent="0.25">
      <c r="A12" s="37" t="s">
        <v>44</v>
      </c>
      <c r="B12" s="3" t="s">
        <v>140</v>
      </c>
      <c r="C12" s="38" t="s">
        <v>165</v>
      </c>
      <c r="D12" s="30" t="str">
        <f>IFERROR(VLOOKUP(Working!A12,Raw_Data!A:A,2,0),"-")</f>
        <v>-</v>
      </c>
      <c r="E12" s="30" t="str">
        <f>IFERROR(VLOOKUP(Working!A12,Raw_Data!A:A,3,0),"-")</f>
        <v>-</v>
      </c>
      <c r="F12" s="30">
        <f>IFERROR(VLOOKUP(B12,Processed_Data!A:C,2,0),"-")</f>
        <v>-4.2789999999999999</v>
      </c>
      <c r="G12" s="30">
        <f>IFERROR(VLOOKUP(B12,Processed_Data!A:C,3,0),"-")</f>
        <v>0.53099999999999992</v>
      </c>
      <c r="H12" s="30" t="str">
        <f t="shared" si="0"/>
        <v>-</v>
      </c>
      <c r="I12" s="30" t="str">
        <f t="shared" si="1"/>
        <v>-</v>
      </c>
    </row>
    <row r="13" spans="1:9" x14ac:dyDescent="0.25">
      <c r="A13" s="7" t="s">
        <v>178</v>
      </c>
      <c r="B13" s="7" t="s">
        <v>166</v>
      </c>
      <c r="C13" s="7" t="s">
        <v>165</v>
      </c>
      <c r="D13" s="40" t="str">
        <f>IFERROR(VLOOKUP(Working!A13,Raw_Data!A:A,2,0),"-")</f>
        <v>-</v>
      </c>
      <c r="E13" s="40" t="str">
        <f>IFERROR(VLOOKUP(Working!A13,Raw_Data!A:A,3,0),"-")</f>
        <v>-</v>
      </c>
      <c r="F13" s="40">
        <f>IFERROR(VLOOKUP(B13,Processed_Data!A:C,2,0),"-")</f>
        <v>-10.043000000000001</v>
      </c>
      <c r="G13" s="40">
        <f>IFERROR(VLOOKUP(B13,Processed_Data!A:C,3,0),"-")</f>
        <v>-2.794</v>
      </c>
      <c r="H13" s="40" t="str">
        <f t="shared" si="0"/>
        <v>-</v>
      </c>
      <c r="I13" s="40" t="str">
        <f t="shared" si="1"/>
        <v>-</v>
      </c>
    </row>
    <row r="14" spans="1:9" x14ac:dyDescent="0.25">
      <c r="A14" s="37" t="s">
        <v>49</v>
      </c>
      <c r="B14" s="3" t="s">
        <v>145</v>
      </c>
      <c r="C14" s="38" t="s">
        <v>165</v>
      </c>
      <c r="D14" s="30" t="str">
        <f>IFERROR(VLOOKUP(Working!A14,Raw_Data!A:A,2,0),"-")</f>
        <v>-</v>
      </c>
      <c r="E14" s="30" t="str">
        <f>IFERROR(VLOOKUP(Working!A14,Raw_Data!A:A,3,0),"-")</f>
        <v>-</v>
      </c>
      <c r="F14" s="30">
        <f>IFERROR(VLOOKUP(B14,Processed_Data!A:C,2,0),"-")</f>
        <v>-5.258</v>
      </c>
      <c r="G14" s="30">
        <f>IFERROR(VLOOKUP(B14,Processed_Data!A:C,3,0),"-")</f>
        <v>0.26999999999999996</v>
      </c>
      <c r="H14" s="30" t="str">
        <f t="shared" si="0"/>
        <v>-</v>
      </c>
      <c r="I14" s="30" t="str">
        <f t="shared" si="1"/>
        <v>-</v>
      </c>
    </row>
    <row r="15" spans="1:9" x14ac:dyDescent="0.25">
      <c r="A15" s="37" t="s">
        <v>54</v>
      </c>
      <c r="B15" s="3" t="s">
        <v>150</v>
      </c>
      <c r="C15" s="38" t="s">
        <v>165</v>
      </c>
      <c r="D15" s="30" t="str">
        <f>IFERROR(VLOOKUP(Working!A15,Raw_Data!A:A,2,0),"-")</f>
        <v>-</v>
      </c>
      <c r="E15" s="30" t="str">
        <f>IFERROR(VLOOKUP(Working!A15,Raw_Data!A:A,3,0),"-")</f>
        <v>-</v>
      </c>
      <c r="F15" s="30">
        <f>IFERROR(VLOOKUP(B15,Processed_Data!A:C,2,0),"-")</f>
        <v>-6.05</v>
      </c>
      <c r="G15" s="30">
        <f>IFERROR(VLOOKUP(B15,Processed_Data!A:C,3,0),"-")</f>
        <v>0.93600000000000005</v>
      </c>
      <c r="H15" s="30" t="str">
        <f t="shared" si="0"/>
        <v>-</v>
      </c>
      <c r="I15" s="30" t="str">
        <f t="shared" si="1"/>
        <v>-</v>
      </c>
    </row>
    <row r="16" spans="1:9" x14ac:dyDescent="0.25">
      <c r="A16" s="37" t="s">
        <v>50</v>
      </c>
      <c r="B16" s="3" t="s">
        <v>146</v>
      </c>
      <c r="C16" s="38" t="s">
        <v>165</v>
      </c>
      <c r="D16" s="30" t="str">
        <f>IFERROR(VLOOKUP(Working!A16,Raw_Data!A:A,2,0),"-")</f>
        <v>-</v>
      </c>
      <c r="E16" s="30" t="str">
        <f>IFERROR(VLOOKUP(Working!A16,Raw_Data!A:A,3,0),"-")</f>
        <v>-</v>
      </c>
      <c r="F16" s="30">
        <f>IFERROR(VLOOKUP(B16,Processed_Data!A:C,2,0),"-")</f>
        <v>-0.82499999999999996</v>
      </c>
      <c r="G16" s="30">
        <f>IFERROR(VLOOKUP(B16,Processed_Data!A:C,3,0),"-")</f>
        <v>-2.6070000000000002</v>
      </c>
      <c r="H16" s="30" t="str">
        <f t="shared" si="0"/>
        <v>-</v>
      </c>
      <c r="I16" s="30" t="str">
        <f t="shared" si="1"/>
        <v>-</v>
      </c>
    </row>
    <row r="17" spans="1:9" x14ac:dyDescent="0.25">
      <c r="A17" s="37" t="s">
        <v>26</v>
      </c>
      <c r="B17" s="3" t="s">
        <v>122</v>
      </c>
      <c r="C17" s="38" t="s">
        <v>165</v>
      </c>
      <c r="D17" s="30" t="str">
        <f>IFERROR(VLOOKUP(Working!A17,Raw_Data!A:A,2,0),"-")</f>
        <v>-</v>
      </c>
      <c r="E17" s="30" t="str">
        <f>IFERROR(VLOOKUP(Working!A17,Raw_Data!A:A,3,0),"-")</f>
        <v>-</v>
      </c>
      <c r="F17" s="30">
        <f>IFERROR(VLOOKUP(B17,Processed_Data!A:C,2,0),"-")</f>
        <v>-3.9710000000000001</v>
      </c>
      <c r="G17" s="30">
        <f>IFERROR(VLOOKUP(B17,Processed_Data!A:C,3,0),"-")</f>
        <v>-0.42899999999999999</v>
      </c>
      <c r="H17" s="30" t="str">
        <f t="shared" si="0"/>
        <v>-</v>
      </c>
      <c r="I17" s="30" t="str">
        <f t="shared" si="1"/>
        <v>-</v>
      </c>
    </row>
    <row r="18" spans="1:9" x14ac:dyDescent="0.25">
      <c r="A18" s="37" t="s">
        <v>30</v>
      </c>
      <c r="B18" s="3" t="s">
        <v>126</v>
      </c>
      <c r="C18" s="38" t="s">
        <v>165</v>
      </c>
      <c r="D18" s="30" t="str">
        <f>IFERROR(VLOOKUP(Working!A18,Raw_Data!A:A,2,0),"-")</f>
        <v>-</v>
      </c>
      <c r="E18" s="30" t="str">
        <f>IFERROR(VLOOKUP(Working!A18,Raw_Data!A:A,3,0),"-")</f>
        <v>-</v>
      </c>
      <c r="F18" s="30">
        <f>IFERROR(VLOOKUP(B18,Processed_Data!A:C,2,0),"-")</f>
        <v>-3.63</v>
      </c>
      <c r="G18" s="30">
        <f>IFERROR(VLOOKUP(B18,Processed_Data!A:C,3,0),"-")</f>
        <v>-0.19799999999999998</v>
      </c>
      <c r="H18" s="30" t="str">
        <f t="shared" si="0"/>
        <v>-</v>
      </c>
      <c r="I18" s="30" t="str">
        <f t="shared" si="1"/>
        <v>-</v>
      </c>
    </row>
    <row r="19" spans="1:9" x14ac:dyDescent="0.25">
      <c r="A19" s="37" t="s">
        <v>32</v>
      </c>
      <c r="B19" s="3" t="s">
        <v>128</v>
      </c>
      <c r="C19" s="38" t="s">
        <v>165</v>
      </c>
      <c r="D19" s="30" t="str">
        <f>IFERROR(VLOOKUP(Working!A19,Raw_Data!A:A,2,0),"-")</f>
        <v>-</v>
      </c>
      <c r="E19" s="30" t="str">
        <f>IFERROR(VLOOKUP(Working!A19,Raw_Data!A:A,3,0),"-")</f>
        <v>-</v>
      </c>
      <c r="F19" s="30">
        <f>IFERROR(VLOOKUP(B19,Processed_Data!A:C,2,0),"-")</f>
        <v>-6.5119999999999996</v>
      </c>
      <c r="G19" s="30">
        <f>IFERROR(VLOOKUP(B19,Processed_Data!A:C,3,0),"-")</f>
        <v>0.63900000000000001</v>
      </c>
      <c r="H19" s="30" t="str">
        <f t="shared" si="0"/>
        <v>-</v>
      </c>
      <c r="I19" s="30" t="str">
        <f t="shared" si="1"/>
        <v>-</v>
      </c>
    </row>
    <row r="20" spans="1:9" x14ac:dyDescent="0.25">
      <c r="A20" s="37" t="s">
        <v>34</v>
      </c>
      <c r="B20" s="3" t="s">
        <v>130</v>
      </c>
      <c r="C20" s="38" t="s">
        <v>165</v>
      </c>
      <c r="D20" s="30" t="str">
        <f>IFERROR(VLOOKUP(Working!A20,Raw_Data!A:A,2,0),"-")</f>
        <v>-</v>
      </c>
      <c r="E20" s="30" t="str">
        <f>IFERROR(VLOOKUP(Working!A20,Raw_Data!A:A,3,0),"-")</f>
        <v>-</v>
      </c>
      <c r="F20" s="30">
        <f>IFERROR(VLOOKUP(B20,Processed_Data!A:C,2,0),"-")</f>
        <v>-7.4140000000000006</v>
      </c>
      <c r="G20" s="30">
        <f>IFERROR(VLOOKUP(B20,Processed_Data!A:C,3,0),"-")</f>
        <v>0.16200000000000001</v>
      </c>
      <c r="H20" s="30" t="str">
        <f t="shared" si="0"/>
        <v>-</v>
      </c>
      <c r="I20" s="30" t="str">
        <f t="shared" si="1"/>
        <v>-</v>
      </c>
    </row>
    <row r="21" spans="1:9" x14ac:dyDescent="0.25">
      <c r="A21" s="37" t="s">
        <v>31</v>
      </c>
      <c r="B21" s="3" t="s">
        <v>127</v>
      </c>
      <c r="C21" s="38" t="s">
        <v>165</v>
      </c>
      <c r="D21" s="30" t="str">
        <f>IFERROR(VLOOKUP(Working!A21,Raw_Data!A:A,2,0),"-")</f>
        <v>-</v>
      </c>
      <c r="E21" s="30" t="str">
        <f>IFERROR(VLOOKUP(Working!A21,Raw_Data!A:A,3,0),"-")</f>
        <v>-</v>
      </c>
      <c r="F21" s="30">
        <f>IFERROR(VLOOKUP(B21,Processed_Data!A:C,2,0),"-")</f>
        <v>-5.3879999999999999</v>
      </c>
      <c r="G21" s="30">
        <f>IFERROR(VLOOKUP(B21,Processed_Data!A:C,3,0),"-")</f>
        <v>0.504</v>
      </c>
      <c r="H21" s="30" t="str">
        <f t="shared" si="0"/>
        <v>-</v>
      </c>
      <c r="I21" s="30" t="str">
        <f t="shared" si="1"/>
        <v>-</v>
      </c>
    </row>
    <row r="22" spans="1:9" x14ac:dyDescent="0.25">
      <c r="A22" s="37" t="s">
        <v>38</v>
      </c>
      <c r="B22" s="3" t="s">
        <v>134</v>
      </c>
      <c r="C22" s="38" t="s">
        <v>165</v>
      </c>
      <c r="D22" s="30" t="str">
        <f>IFERROR(VLOOKUP(Working!A22,Raw_Data!A:A,2,0),"-")</f>
        <v>-</v>
      </c>
      <c r="E22" s="30" t="str">
        <f>IFERROR(VLOOKUP(Working!A22,Raw_Data!A:A,3,0),"-")</f>
        <v>-</v>
      </c>
      <c r="F22" s="30">
        <f>IFERROR(VLOOKUP(B22,Processed_Data!A:C,2,0),"-")</f>
        <v>-3.883</v>
      </c>
      <c r="G22" s="30">
        <f>IFERROR(VLOOKUP(B22,Processed_Data!A:C,3,0),"-")</f>
        <v>-4.95</v>
      </c>
      <c r="H22" s="30" t="str">
        <f t="shared" si="0"/>
        <v>-</v>
      </c>
      <c r="I22" s="30" t="str">
        <f t="shared" si="1"/>
        <v>-</v>
      </c>
    </row>
    <row r="23" spans="1:9" x14ac:dyDescent="0.25">
      <c r="A23" s="37" t="s">
        <v>39</v>
      </c>
      <c r="B23" s="3" t="s">
        <v>135</v>
      </c>
      <c r="C23" s="38" t="s">
        <v>165</v>
      </c>
      <c r="D23" s="30" t="str">
        <f>IFERROR(VLOOKUP(Working!A23,Raw_Data!A:A,2,0),"-")</f>
        <v>-</v>
      </c>
      <c r="E23" s="30" t="str">
        <f>IFERROR(VLOOKUP(Working!A23,Raw_Data!A:A,3,0),"-")</f>
        <v>-</v>
      </c>
      <c r="F23" s="30">
        <f>IFERROR(VLOOKUP(B23,Processed_Data!A:C,2,0),"-")</f>
        <v>-4.8620000000000001</v>
      </c>
      <c r="G23" s="30">
        <f>IFERROR(VLOOKUP(B23,Processed_Data!A:C,3,0),"-")</f>
        <v>-3.3439999999999999</v>
      </c>
      <c r="H23" s="30" t="str">
        <f t="shared" si="0"/>
        <v>-</v>
      </c>
      <c r="I23" s="30" t="str">
        <f t="shared" si="1"/>
        <v>-</v>
      </c>
    </row>
    <row r="24" spans="1:9" x14ac:dyDescent="0.25">
      <c r="A24" s="37" t="s">
        <v>40</v>
      </c>
      <c r="B24" s="3" t="s">
        <v>136</v>
      </c>
      <c r="C24" s="38" t="s">
        <v>165</v>
      </c>
      <c r="D24" s="30" t="str">
        <f>IFERROR(VLOOKUP(Working!A24,Raw_Data!A:A,2,0),"-")</f>
        <v>-</v>
      </c>
      <c r="E24" s="30" t="str">
        <f>IFERROR(VLOOKUP(Working!A24,Raw_Data!A:A,3,0),"-")</f>
        <v>-</v>
      </c>
      <c r="F24" s="30">
        <f>IFERROR(VLOOKUP(B24,Processed_Data!A:C,2,0),"-")</f>
        <v>0.33300000000000002</v>
      </c>
      <c r="G24" s="30">
        <f>IFERROR(VLOOKUP(B24,Processed_Data!A:C,3,0),"-")</f>
        <v>-6.8310000000000004</v>
      </c>
      <c r="H24" s="30" t="str">
        <f t="shared" si="0"/>
        <v>-</v>
      </c>
      <c r="I24" s="30" t="str">
        <f t="shared" si="1"/>
        <v>-</v>
      </c>
    </row>
    <row r="25" spans="1:9" x14ac:dyDescent="0.25">
      <c r="A25" s="37" t="s">
        <v>43</v>
      </c>
      <c r="B25" s="3" t="s">
        <v>139</v>
      </c>
      <c r="C25" s="38" t="s">
        <v>165</v>
      </c>
      <c r="D25" s="30" t="str">
        <f>IFERROR(VLOOKUP(Working!A25,Raw_Data!A:A,2,0),"-")</f>
        <v>-</v>
      </c>
      <c r="E25" s="30" t="str">
        <f>IFERROR(VLOOKUP(Working!A25,Raw_Data!A:A,3,0),"-")</f>
        <v>-</v>
      </c>
      <c r="F25" s="30">
        <f>IFERROR(VLOOKUP(B25,Processed_Data!A:C,2,0),"-")</f>
        <v>-2.31</v>
      </c>
      <c r="G25" s="30">
        <f>IFERROR(VLOOKUP(B25,Processed_Data!A:C,3,0),"-")</f>
        <v>-4.7080000000000002</v>
      </c>
      <c r="H25" s="30" t="str">
        <f t="shared" si="0"/>
        <v>-</v>
      </c>
      <c r="I25" s="30" t="str">
        <f t="shared" si="1"/>
        <v>-</v>
      </c>
    </row>
    <row r="26" spans="1:9" x14ac:dyDescent="0.25">
      <c r="A26" s="37" t="s">
        <v>42</v>
      </c>
      <c r="B26" s="3" t="s">
        <v>138</v>
      </c>
      <c r="C26" s="38" t="s">
        <v>165</v>
      </c>
      <c r="D26" s="30" t="str">
        <f>IFERROR(VLOOKUP(Working!A26,Raw_Data!A:A,2,0),"-")</f>
        <v>-</v>
      </c>
      <c r="E26" s="30" t="str">
        <f>IFERROR(VLOOKUP(Working!A26,Raw_Data!A:A,3,0),"-")</f>
        <v>-</v>
      </c>
      <c r="F26" s="30">
        <f>IFERROR(VLOOKUP(B26,Processed_Data!A:C,2,0),"-")</f>
        <v>-5.6040000000000001</v>
      </c>
      <c r="G26" s="30">
        <f>IFERROR(VLOOKUP(B26,Processed_Data!A:C,3,0),"-")</f>
        <v>-5.0640000000000001</v>
      </c>
      <c r="H26" s="30" t="str">
        <f t="shared" si="0"/>
        <v>-</v>
      </c>
      <c r="I26" s="30" t="str">
        <f t="shared" si="1"/>
        <v>-</v>
      </c>
    </row>
    <row r="27" spans="1:9" x14ac:dyDescent="0.25">
      <c r="A27" s="37" t="s">
        <v>41</v>
      </c>
      <c r="B27" s="3" t="s">
        <v>137</v>
      </c>
      <c r="C27" s="38" t="s">
        <v>165</v>
      </c>
      <c r="D27" s="30" t="str">
        <f>IFERROR(VLOOKUP(Working!A27,Raw_Data!A:A,2,0),"-")</f>
        <v>-</v>
      </c>
      <c r="E27" s="30" t="str">
        <f>IFERROR(VLOOKUP(Working!A27,Raw_Data!A:A,3,0),"-")</f>
        <v>-</v>
      </c>
      <c r="F27" s="30">
        <f>IFERROR(VLOOKUP(B27,Processed_Data!A:C,2,0),"-")</f>
        <v>-4.2789999999999999</v>
      </c>
      <c r="G27" s="30">
        <f>IFERROR(VLOOKUP(B27,Processed_Data!A:C,3,0),"-")</f>
        <v>-3.355</v>
      </c>
      <c r="H27" s="30" t="str">
        <f t="shared" si="0"/>
        <v>-</v>
      </c>
      <c r="I27" s="30" t="str">
        <f t="shared" si="1"/>
        <v>-</v>
      </c>
    </row>
    <row r="28" spans="1:9" x14ac:dyDescent="0.25">
      <c r="A28" s="37" t="s">
        <v>37</v>
      </c>
      <c r="B28" s="3" t="s">
        <v>133</v>
      </c>
      <c r="C28" s="38" t="s">
        <v>165</v>
      </c>
      <c r="D28" s="30" t="str">
        <f>IFERROR(VLOOKUP(Working!A28,Raw_Data!A:A,2,0),"-")</f>
        <v>-</v>
      </c>
      <c r="E28" s="30" t="str">
        <f>IFERROR(VLOOKUP(Working!A28,Raw_Data!A:A,3,0),"-")</f>
        <v>-</v>
      </c>
      <c r="F28" s="30">
        <f>IFERROR(VLOOKUP(B28,Processed_Data!A:C,2,0),"-")</f>
        <v>-3.8279999999999998</v>
      </c>
      <c r="G28" s="30">
        <f>IFERROR(VLOOKUP(B28,Processed_Data!A:C,3,0),"-")</f>
        <v>-3.1019999999999999</v>
      </c>
      <c r="H28" s="30" t="str">
        <f t="shared" si="0"/>
        <v>-</v>
      </c>
      <c r="I28" s="30" t="str">
        <f t="shared" si="1"/>
        <v>-</v>
      </c>
    </row>
    <row r="29" spans="1:9" x14ac:dyDescent="0.25">
      <c r="A29" s="37" t="s">
        <v>58</v>
      </c>
      <c r="B29" s="3" t="s">
        <v>154</v>
      </c>
      <c r="C29" s="38" t="s">
        <v>165</v>
      </c>
      <c r="D29" s="30" t="str">
        <f>IFERROR(VLOOKUP(Working!A29,Raw_Data!A:A,2,0),"-")</f>
        <v>-</v>
      </c>
      <c r="E29" s="30" t="str">
        <f>IFERROR(VLOOKUP(Working!A29,Raw_Data!A:A,3,0),"-")</f>
        <v>-</v>
      </c>
      <c r="F29" s="30">
        <f>IFERROR(VLOOKUP(B29,Processed_Data!A:C,2,0),"-")</f>
        <v>-1.595</v>
      </c>
      <c r="G29" s="30">
        <f>IFERROR(VLOOKUP(B29,Processed_Data!A:C,3,0),"-")</f>
        <v>-1.089</v>
      </c>
      <c r="H29" s="30" t="str">
        <f t="shared" si="0"/>
        <v>-</v>
      </c>
      <c r="I29" s="30" t="str">
        <f t="shared" si="1"/>
        <v>-</v>
      </c>
    </row>
    <row r="30" spans="1:9" x14ac:dyDescent="0.25">
      <c r="A30" s="37" t="s">
        <v>59</v>
      </c>
      <c r="B30" s="3" t="s">
        <v>155</v>
      </c>
      <c r="C30" s="38" t="s">
        <v>165</v>
      </c>
      <c r="D30" s="30" t="str">
        <f>IFERROR(VLOOKUP(Working!A30,Raw_Data!A:A,2,0),"-")</f>
        <v>-</v>
      </c>
      <c r="E30" s="30" t="str">
        <f>IFERROR(VLOOKUP(Working!A30,Raw_Data!A:A,3,0),"-")</f>
        <v>-</v>
      </c>
      <c r="F30" s="30">
        <f>IFERROR(VLOOKUP(B30,Processed_Data!A:C,2,0),"-")</f>
        <v>0.54899999999999993</v>
      </c>
      <c r="G30" s="30">
        <f>IFERROR(VLOOKUP(B30,Processed_Data!A:C,3,0),"-")</f>
        <v>-3.0140000000000002</v>
      </c>
      <c r="H30" s="30" t="str">
        <f t="shared" si="0"/>
        <v>-</v>
      </c>
      <c r="I30" s="30" t="str">
        <f t="shared" si="1"/>
        <v>-</v>
      </c>
    </row>
    <row r="31" spans="1:9" x14ac:dyDescent="0.25">
      <c r="A31" s="37" t="s">
        <v>60</v>
      </c>
      <c r="B31" s="3" t="s">
        <v>156</v>
      </c>
      <c r="C31" s="38" t="s">
        <v>165</v>
      </c>
      <c r="D31" s="30" t="str">
        <f>IFERROR(VLOOKUP(Working!A31,Raw_Data!A:A,2,0),"-")</f>
        <v>-</v>
      </c>
      <c r="E31" s="30" t="str">
        <f>IFERROR(VLOOKUP(Working!A31,Raw_Data!A:A,3,0),"-")</f>
        <v>-</v>
      </c>
      <c r="F31" s="30">
        <f>IFERROR(VLOOKUP(B31,Processed_Data!A:C,2,0),"-")</f>
        <v>-0.45099999999999996</v>
      </c>
      <c r="G31" s="30">
        <f>IFERROR(VLOOKUP(B31,Processed_Data!A:C,3,0),"-")</f>
        <v>-1.8259999999999998</v>
      </c>
      <c r="H31" s="30" t="str">
        <f t="shared" si="0"/>
        <v>-</v>
      </c>
      <c r="I31" s="30" t="str">
        <f t="shared" si="1"/>
        <v>-</v>
      </c>
    </row>
    <row r="32" spans="1:9" x14ac:dyDescent="0.25">
      <c r="A32" s="37" t="s">
        <v>55</v>
      </c>
      <c r="B32" s="3" t="s">
        <v>151</v>
      </c>
      <c r="C32" s="38" t="s">
        <v>165</v>
      </c>
      <c r="D32" s="30" t="str">
        <f>IFERROR(VLOOKUP(Working!A32,Raw_Data!A:A,2,0),"-")</f>
        <v>-</v>
      </c>
      <c r="E32" s="30" t="str">
        <f>IFERROR(VLOOKUP(Working!A32,Raw_Data!A:A,3,0),"-")</f>
        <v>-</v>
      </c>
      <c r="F32" s="30">
        <f>IFERROR(VLOOKUP(B32,Processed_Data!A:C,2,0),"-")</f>
        <v>-2.3320000000000003</v>
      </c>
      <c r="G32" s="30">
        <f>IFERROR(VLOOKUP(B32,Processed_Data!A:C,3,0),"-")</f>
        <v>-1.9359999999999999</v>
      </c>
      <c r="H32" s="30" t="str">
        <f t="shared" si="0"/>
        <v>-</v>
      </c>
      <c r="I32" s="30" t="str">
        <f t="shared" si="1"/>
        <v>-</v>
      </c>
    </row>
    <row r="33" spans="1:9" x14ac:dyDescent="0.25">
      <c r="A33" s="37" t="s">
        <v>56</v>
      </c>
      <c r="B33" s="3" t="s">
        <v>152</v>
      </c>
      <c r="C33" s="38" t="s">
        <v>165</v>
      </c>
      <c r="D33" s="30" t="str">
        <f>IFERROR(VLOOKUP(Working!A33,Raw_Data!A:A,2,0),"-")</f>
        <v>-</v>
      </c>
      <c r="E33" s="30" t="str">
        <f>IFERROR(VLOOKUP(Working!A33,Raw_Data!A:A,3,0),"-")</f>
        <v>-</v>
      </c>
      <c r="F33" s="30">
        <f>IFERROR(VLOOKUP(B33,Processed_Data!A:C,2,0),"-")</f>
        <v>-1.5399999999999998</v>
      </c>
      <c r="G33" s="30">
        <f>IFERROR(VLOOKUP(B33,Processed_Data!A:C,3,0),"-")</f>
        <v>-1.4410000000000001</v>
      </c>
      <c r="H33" s="30" t="str">
        <f t="shared" si="0"/>
        <v>-</v>
      </c>
      <c r="I33" s="30" t="str">
        <f t="shared" si="1"/>
        <v>-</v>
      </c>
    </row>
    <row r="34" spans="1:9" x14ac:dyDescent="0.25">
      <c r="A34" s="37" t="s">
        <v>61</v>
      </c>
      <c r="B34" s="3" t="s">
        <v>157</v>
      </c>
      <c r="C34" s="38" t="s">
        <v>165</v>
      </c>
      <c r="D34" s="30" t="str">
        <f>IFERROR(VLOOKUP(Working!A34,Raw_Data!A:A,2,0),"-")</f>
        <v>-</v>
      </c>
      <c r="E34" s="30" t="str">
        <f>IFERROR(VLOOKUP(Working!A34,Raw_Data!A:A,3,0),"-")</f>
        <v>-</v>
      </c>
      <c r="F34" s="30">
        <f>IFERROR(VLOOKUP(B34,Processed_Data!A:C,2,0),"-")</f>
        <v>-0.82499999999999996</v>
      </c>
      <c r="G34" s="30">
        <f>IFERROR(VLOOKUP(B34,Processed_Data!A:C,3,0),"-")</f>
        <v>-2.75</v>
      </c>
      <c r="H34" s="30" t="str">
        <f t="shared" si="0"/>
        <v>-</v>
      </c>
      <c r="I34" s="30" t="str">
        <f t="shared" si="1"/>
        <v>-</v>
      </c>
    </row>
    <row r="35" spans="1:9" x14ac:dyDescent="0.25">
      <c r="A35" s="37" t="s">
        <v>35</v>
      </c>
      <c r="B35" s="3" t="s">
        <v>131</v>
      </c>
      <c r="C35" s="38" t="s">
        <v>165</v>
      </c>
      <c r="D35" s="30" t="str">
        <f>IFERROR(VLOOKUP(Working!A35,Raw_Data!A:A,2,0),"-")</f>
        <v>-</v>
      </c>
      <c r="E35" s="30" t="str">
        <f>IFERROR(VLOOKUP(Working!A35,Raw_Data!A:A,3,0),"-")</f>
        <v>-</v>
      </c>
      <c r="F35" s="30">
        <f>IFERROR(VLOOKUP(B35,Processed_Data!A:C,2,0),"-")</f>
        <v>-2.4200000000000004</v>
      </c>
      <c r="G35" s="30">
        <f>IFERROR(VLOOKUP(B35,Processed_Data!A:C,3,0),"-")</f>
        <v>-2.0350000000000001</v>
      </c>
      <c r="H35" s="30" t="str">
        <f t="shared" si="0"/>
        <v>-</v>
      </c>
      <c r="I35" s="30" t="str">
        <f t="shared" si="1"/>
        <v>-</v>
      </c>
    </row>
    <row r="36" spans="1:9" x14ac:dyDescent="0.25">
      <c r="A36" s="37" t="s">
        <v>28</v>
      </c>
      <c r="B36" s="3" t="s">
        <v>124</v>
      </c>
      <c r="C36" s="38" t="s">
        <v>165</v>
      </c>
      <c r="D36" s="30" t="str">
        <f>IFERROR(VLOOKUP(Working!A36,Raw_Data!A:A,2,0),"-")</f>
        <v>-</v>
      </c>
      <c r="E36" s="30" t="str">
        <f>IFERROR(VLOOKUP(Working!A36,Raw_Data!A:A,3,0),"-")</f>
        <v>-</v>
      </c>
      <c r="F36" s="30">
        <f>IFERROR(VLOOKUP(B36,Processed_Data!A:C,2,0),"-")</f>
        <v>0.84599999999999997</v>
      </c>
      <c r="G36" s="30">
        <f>IFERROR(VLOOKUP(B36,Processed_Data!A:C,3,0),"-")</f>
        <v>-4.4109999999999996</v>
      </c>
      <c r="H36" s="30" t="str">
        <f t="shared" si="0"/>
        <v>-</v>
      </c>
      <c r="I36" s="30" t="str">
        <f t="shared" si="1"/>
        <v>-</v>
      </c>
    </row>
    <row r="37" spans="1:9" x14ac:dyDescent="0.25">
      <c r="A37" s="37" t="s">
        <v>36</v>
      </c>
      <c r="B37" s="3" t="s">
        <v>132</v>
      </c>
      <c r="C37" s="38" t="s">
        <v>165</v>
      </c>
      <c r="D37" s="30" t="str">
        <f>IFERROR(VLOOKUP(Working!A37,Raw_Data!A:A,2,0),"-")</f>
        <v>-</v>
      </c>
      <c r="E37" s="30" t="str">
        <f>IFERROR(VLOOKUP(Working!A37,Raw_Data!A:A,3,0),"-")</f>
        <v>-</v>
      </c>
      <c r="F37" s="30">
        <f>IFERROR(VLOOKUP(B37,Processed_Data!A:C,2,0),"-")</f>
        <v>-1.3080000000000001</v>
      </c>
      <c r="G37" s="30">
        <f>IFERROR(VLOOKUP(B37,Processed_Data!A:C,3,0),"-")</f>
        <v>-3.7680000000000002</v>
      </c>
      <c r="H37" s="30" t="str">
        <f t="shared" si="0"/>
        <v>-</v>
      </c>
      <c r="I37" s="30" t="str">
        <f t="shared" si="1"/>
        <v>-</v>
      </c>
    </row>
    <row r="38" spans="1:9" x14ac:dyDescent="0.25">
      <c r="A38" s="37" t="s">
        <v>29</v>
      </c>
      <c r="B38" s="3" t="s">
        <v>125</v>
      </c>
      <c r="C38" s="38" t="s">
        <v>165</v>
      </c>
      <c r="D38" s="30" t="str">
        <f>IFERROR(VLOOKUP(Working!A38,Raw_Data!A:A,2,0),"-")</f>
        <v>-</v>
      </c>
      <c r="E38" s="30" t="str">
        <f>IFERROR(VLOOKUP(Working!A38,Raw_Data!A:A,3,0),"-")</f>
        <v>-</v>
      </c>
      <c r="F38" s="30">
        <f>IFERROR(VLOOKUP(B38,Processed_Data!A:C,2,0),"-")</f>
        <v>-3.2119999999999997</v>
      </c>
      <c r="G38" s="30">
        <f>IFERROR(VLOOKUP(B38,Processed_Data!A:C,3,0),"-")</f>
        <v>-2.7720000000000002</v>
      </c>
      <c r="H38" s="30" t="str">
        <f t="shared" si="0"/>
        <v>-</v>
      </c>
      <c r="I38" s="30" t="str">
        <f t="shared" si="1"/>
        <v>-</v>
      </c>
    </row>
    <row r="39" spans="1:9" x14ac:dyDescent="0.25">
      <c r="A39" s="37" t="s">
        <v>7</v>
      </c>
      <c r="B39" s="3" t="s">
        <v>103</v>
      </c>
      <c r="C39" s="38" t="s">
        <v>167</v>
      </c>
      <c r="D39" s="30" t="str">
        <f>IFERROR(VLOOKUP(Working!A39,Raw_Data!A:A,2,0),"-")</f>
        <v>-</v>
      </c>
      <c r="E39" s="30" t="str">
        <f>IFERROR(VLOOKUP(Working!A39,Raw_Data!A:A,3,0),"-")</f>
        <v>-</v>
      </c>
      <c r="F39" s="30">
        <f>IFERROR(VLOOKUP(B39,Processed_Data!A:C,2,0),"-")</f>
        <v>-13.09</v>
      </c>
      <c r="G39" s="30">
        <f>IFERROR(VLOOKUP(B39,Processed_Data!A:C,3,0),"-")</f>
        <v>-9.8560000000000016</v>
      </c>
      <c r="H39" s="30" t="str">
        <f t="shared" si="0"/>
        <v>-</v>
      </c>
      <c r="I39" s="30" t="str">
        <f t="shared" si="1"/>
        <v>-</v>
      </c>
    </row>
    <row r="40" spans="1:9" x14ac:dyDescent="0.25">
      <c r="A40" s="37" t="s">
        <v>14</v>
      </c>
      <c r="B40" s="3" t="s">
        <v>110</v>
      </c>
      <c r="C40" s="38" t="s">
        <v>167</v>
      </c>
      <c r="D40" s="30" t="str">
        <f>IFERROR(VLOOKUP(Working!A40,Raw_Data!A:A,2,0),"-")</f>
        <v>-</v>
      </c>
      <c r="E40" s="30" t="str">
        <f>IFERROR(VLOOKUP(Working!A40,Raw_Data!A:A,3,0),"-")</f>
        <v>-</v>
      </c>
      <c r="F40" s="30">
        <f>IFERROR(VLOOKUP(B40,Processed_Data!A:C,2,0),"-")</f>
        <v>-32.483000000000004</v>
      </c>
      <c r="G40" s="30">
        <f>IFERROR(VLOOKUP(B40,Processed_Data!A:C,3,0),"-")</f>
        <v>1.974</v>
      </c>
      <c r="H40" s="30" t="str">
        <f t="shared" si="0"/>
        <v>-</v>
      </c>
      <c r="I40" s="30" t="str">
        <f t="shared" si="1"/>
        <v>-</v>
      </c>
    </row>
    <row r="41" spans="1:9" x14ac:dyDescent="0.25">
      <c r="A41" s="37" t="s">
        <v>18</v>
      </c>
      <c r="B41" s="3" t="s">
        <v>114</v>
      </c>
      <c r="C41" s="38" t="s">
        <v>167</v>
      </c>
      <c r="D41" s="30" t="str">
        <f>IFERROR(VLOOKUP(Working!A41,Raw_Data!A:A,2,0),"-")</f>
        <v>-</v>
      </c>
      <c r="E41" s="30" t="str">
        <f>IFERROR(VLOOKUP(Working!A41,Raw_Data!A:A,3,0),"-")</f>
        <v>-</v>
      </c>
      <c r="F41" s="30">
        <f>IFERROR(VLOOKUP(B41,Processed_Data!A:C,2,0),"-")</f>
        <v>-633.85300000000007</v>
      </c>
      <c r="G41" s="30">
        <f>IFERROR(VLOOKUP(B41,Processed_Data!A:C,3,0),"-")</f>
        <v>0</v>
      </c>
      <c r="H41" s="30" t="str">
        <f t="shared" si="0"/>
        <v>-</v>
      </c>
      <c r="I41" s="30" t="str">
        <f t="shared" si="1"/>
        <v>-</v>
      </c>
    </row>
    <row r="42" spans="1:9" x14ac:dyDescent="0.25">
      <c r="A42" s="37" t="s">
        <v>12</v>
      </c>
      <c r="B42" s="3" t="s">
        <v>108</v>
      </c>
      <c r="C42" s="38" t="s">
        <v>167</v>
      </c>
      <c r="D42" s="30" t="str">
        <f>IFERROR(VLOOKUP(Working!A42,Raw_Data!A:A,2,0),"-")</f>
        <v>-</v>
      </c>
      <c r="E42" s="30" t="str">
        <f>IFERROR(VLOOKUP(Working!A42,Raw_Data!A:A,3,0),"-")</f>
        <v>-</v>
      </c>
      <c r="F42" s="30">
        <f>IFERROR(VLOOKUP(B42,Processed_Data!A:C,2,0),"-")</f>
        <v>-34.484999999999999</v>
      </c>
      <c r="G42" s="30">
        <f>IFERROR(VLOOKUP(B42,Processed_Data!A:C,3,0),"-")</f>
        <v>1.113</v>
      </c>
      <c r="H42" s="30" t="str">
        <f t="shared" si="0"/>
        <v>-</v>
      </c>
      <c r="I42" s="30" t="str">
        <f t="shared" si="1"/>
        <v>-</v>
      </c>
    </row>
    <row r="43" spans="1:9" x14ac:dyDescent="0.25">
      <c r="A43" s="37" t="s">
        <v>11</v>
      </c>
      <c r="B43" s="3" t="s">
        <v>107</v>
      </c>
      <c r="C43" s="38" t="s">
        <v>167</v>
      </c>
      <c r="D43" s="30" t="str">
        <f>IFERROR(VLOOKUP(Working!A43,Raw_Data!A:A,2,0),"-")</f>
        <v>-</v>
      </c>
      <c r="E43" s="30" t="str">
        <f>IFERROR(VLOOKUP(Working!A43,Raw_Data!A:A,3,0),"-")</f>
        <v>-</v>
      </c>
      <c r="F43" s="30">
        <f>IFERROR(VLOOKUP(B43,Processed_Data!A:C,2,0),"-")</f>
        <v>-30.360000000000003</v>
      </c>
      <c r="G43" s="30">
        <f>IFERROR(VLOOKUP(B43,Processed_Data!A:C,3,0),"-")</f>
        <v>-9.3719999999999999</v>
      </c>
      <c r="H43" s="30" t="str">
        <f t="shared" si="0"/>
        <v>-</v>
      </c>
      <c r="I43" s="30" t="str">
        <f t="shared" si="1"/>
        <v>-</v>
      </c>
    </row>
    <row r="44" spans="1:9" x14ac:dyDescent="0.25">
      <c r="A44" s="37" t="s">
        <v>8</v>
      </c>
      <c r="B44" s="3" t="s">
        <v>104</v>
      </c>
      <c r="C44" s="38" t="s">
        <v>167</v>
      </c>
      <c r="D44" s="30" t="str">
        <f>IFERROR(VLOOKUP(Working!A44,Raw_Data!A:A,2,0),"-")</f>
        <v>-</v>
      </c>
      <c r="E44" s="30" t="str">
        <f>IFERROR(VLOOKUP(Working!A44,Raw_Data!A:A,3,0),"-")</f>
        <v>-</v>
      </c>
      <c r="F44" s="30">
        <f>IFERROR(VLOOKUP(B44,Processed_Data!A:C,2,0),"-")</f>
        <v>-29.744</v>
      </c>
      <c r="G44" s="30">
        <f>IFERROR(VLOOKUP(B44,Processed_Data!A:C,3,0),"-")</f>
        <v>-2.101</v>
      </c>
      <c r="H44" s="30" t="str">
        <f t="shared" si="0"/>
        <v>-</v>
      </c>
      <c r="I44" s="30" t="str">
        <f t="shared" si="1"/>
        <v>-</v>
      </c>
    </row>
    <row r="45" spans="1:9" x14ac:dyDescent="0.25">
      <c r="A45" s="37" t="s">
        <v>15</v>
      </c>
      <c r="B45" s="3" t="s">
        <v>111</v>
      </c>
      <c r="C45" s="38" t="s">
        <v>167</v>
      </c>
      <c r="D45" s="30" t="str">
        <f>IFERROR(VLOOKUP(Working!A45,Raw_Data!A:A,2,0),"-")</f>
        <v>-</v>
      </c>
      <c r="E45" s="30" t="str">
        <f>IFERROR(VLOOKUP(Working!A45,Raw_Data!A:A,3,0),"-")</f>
        <v>-</v>
      </c>
      <c r="F45" s="30">
        <f>IFERROR(VLOOKUP(B45,Processed_Data!A:C,2,0),"-")</f>
        <v>-673.82700000000011</v>
      </c>
      <c r="G45" s="30">
        <f>IFERROR(VLOOKUP(B45,Processed_Data!A:C,3,0),"-")</f>
        <v>0</v>
      </c>
      <c r="H45" s="30" t="str">
        <f t="shared" si="0"/>
        <v>-</v>
      </c>
      <c r="I45" s="30" t="str">
        <f t="shared" si="1"/>
        <v>-</v>
      </c>
    </row>
    <row r="46" spans="1:9" x14ac:dyDescent="0.25">
      <c r="A46" s="37" t="s">
        <v>13</v>
      </c>
      <c r="B46" s="3" t="s">
        <v>109</v>
      </c>
      <c r="C46" s="38" t="s">
        <v>167</v>
      </c>
      <c r="D46" s="30" t="str">
        <f>IFERROR(VLOOKUP(Working!A46,Raw_Data!A:A,2,0),"-")</f>
        <v>-</v>
      </c>
      <c r="E46" s="30" t="str">
        <f>IFERROR(VLOOKUP(Working!A46,Raw_Data!A:A,3,0),"-")</f>
        <v>-</v>
      </c>
      <c r="F46" s="30">
        <f>IFERROR(VLOOKUP(B46,Processed_Data!A:C,2,0),"-")</f>
        <v>-24.508000000000003</v>
      </c>
      <c r="G46" s="30">
        <f>IFERROR(VLOOKUP(B46,Processed_Data!A:C,3,0),"-")</f>
        <v>-26.146999999999998</v>
      </c>
      <c r="H46" s="30" t="str">
        <f t="shared" si="0"/>
        <v>-</v>
      </c>
      <c r="I46" s="30" t="str">
        <f t="shared" si="1"/>
        <v>-</v>
      </c>
    </row>
    <row r="47" spans="1:9" x14ac:dyDescent="0.25">
      <c r="A47" s="37" t="s">
        <v>10</v>
      </c>
      <c r="B47" s="3" t="s">
        <v>106</v>
      </c>
      <c r="C47" s="38" t="s">
        <v>167</v>
      </c>
      <c r="D47" s="30" t="str">
        <f>IFERROR(VLOOKUP(Working!A47,Raw_Data!A:A,2,0),"-")</f>
        <v>-</v>
      </c>
      <c r="E47" s="30" t="str">
        <f>IFERROR(VLOOKUP(Working!A47,Raw_Data!A:A,3,0),"-")</f>
        <v>-</v>
      </c>
      <c r="F47" s="30">
        <f>IFERROR(VLOOKUP(B47,Processed_Data!A:C,2,0),"-")</f>
        <v>-2.4640000000000004</v>
      </c>
      <c r="G47" s="30">
        <f>IFERROR(VLOOKUP(B47,Processed_Data!A:C,3,0),"-")</f>
        <v>-2.8929999999999998</v>
      </c>
      <c r="H47" s="30" t="str">
        <f t="shared" si="0"/>
        <v>-</v>
      </c>
      <c r="I47" s="30" t="str">
        <f t="shared" si="1"/>
        <v>-</v>
      </c>
    </row>
    <row r="48" spans="1:9" x14ac:dyDescent="0.25">
      <c r="A48" s="37" t="s">
        <v>4</v>
      </c>
      <c r="B48" s="3" t="s">
        <v>100</v>
      </c>
      <c r="C48" s="38" t="s">
        <v>167</v>
      </c>
      <c r="D48" s="30" t="str">
        <f>IFERROR(VLOOKUP(Working!A48,Raw_Data!A:A,2,0),"-")</f>
        <v>-</v>
      </c>
      <c r="E48" s="30" t="str">
        <f>IFERROR(VLOOKUP(Working!A48,Raw_Data!A:A,3,0),"-")</f>
        <v>-</v>
      </c>
      <c r="F48" s="30">
        <f>IFERROR(VLOOKUP(B48,Processed_Data!A:C,2,0),"-")</f>
        <v>-1.9910000000000001</v>
      </c>
      <c r="G48" s="30">
        <f>IFERROR(VLOOKUP(B48,Processed_Data!A:C,3,0),"-")</f>
        <v>-3.7839999999999998</v>
      </c>
      <c r="H48" s="30" t="str">
        <f t="shared" si="0"/>
        <v>-</v>
      </c>
      <c r="I48" s="30" t="str">
        <f t="shared" si="1"/>
        <v>-</v>
      </c>
    </row>
    <row r="49" spans="1:9" x14ac:dyDescent="0.25">
      <c r="A49" s="37" t="s">
        <v>2</v>
      </c>
      <c r="B49" s="3" t="s">
        <v>98</v>
      </c>
      <c r="C49" s="38" t="s">
        <v>167</v>
      </c>
      <c r="D49" s="30" t="str">
        <f>IFERROR(VLOOKUP(Working!A49,Raw_Data!A:A,2,0),"-")</f>
        <v>-</v>
      </c>
      <c r="E49" s="30" t="str">
        <f>IFERROR(VLOOKUP(Working!A49,Raw_Data!A:A,3,0),"-")</f>
        <v>-</v>
      </c>
      <c r="F49" s="30">
        <f>IFERROR(VLOOKUP(B49,Processed_Data!A:C,2,0),"-")</f>
        <v>-0.121</v>
      </c>
      <c r="G49" s="30">
        <f>IFERROR(VLOOKUP(B49,Processed_Data!A:C,3,0),"-")</f>
        <v>-0.31900000000000001</v>
      </c>
      <c r="H49" s="30" t="str">
        <f t="shared" si="0"/>
        <v>-</v>
      </c>
      <c r="I49" s="30" t="str">
        <f t="shared" si="1"/>
        <v>-</v>
      </c>
    </row>
    <row r="50" spans="1:9" x14ac:dyDescent="0.25">
      <c r="A50" s="37" t="s">
        <v>1</v>
      </c>
      <c r="B50" s="3" t="s">
        <v>97</v>
      </c>
      <c r="C50" s="38" t="s">
        <v>167</v>
      </c>
      <c r="D50" s="30" t="str">
        <f>IFERROR(VLOOKUP(Working!A50,Raw_Data!A:A,2,0),"-")</f>
        <v>-</v>
      </c>
      <c r="E50" s="30" t="str">
        <f>IFERROR(VLOOKUP(Working!A50,Raw_Data!A:A,3,0),"-")</f>
        <v>-</v>
      </c>
      <c r="F50" s="30">
        <f>IFERROR(VLOOKUP(B50,Processed_Data!A:C,2,0),"-")</f>
        <v>4.1999999999999996E-2</v>
      </c>
      <c r="G50" s="30">
        <f>IFERROR(VLOOKUP(B50,Processed_Data!A:C,3,0),"-")</f>
        <v>-2.0350000000000001</v>
      </c>
      <c r="H50" s="30" t="str">
        <f t="shared" si="0"/>
        <v>-</v>
      </c>
      <c r="I50" s="30" t="str">
        <f t="shared" si="1"/>
        <v>-</v>
      </c>
    </row>
    <row r="51" spans="1:9" x14ac:dyDescent="0.25">
      <c r="A51" s="37" t="s">
        <v>3</v>
      </c>
      <c r="B51" s="3" t="s">
        <v>99</v>
      </c>
      <c r="C51" s="38" t="s">
        <v>167</v>
      </c>
      <c r="D51" s="30" t="str">
        <f>IFERROR(VLOOKUP(Working!A51,Raw_Data!A:A,2,0),"-")</f>
        <v>-</v>
      </c>
      <c r="E51" s="30" t="str">
        <f>IFERROR(VLOOKUP(Working!A51,Raw_Data!A:A,3,0),"-")</f>
        <v>-</v>
      </c>
      <c r="F51" s="30">
        <f>IFERROR(VLOOKUP(B51,Processed_Data!A:C,2,0),"-")</f>
        <v>-0.42899999999999999</v>
      </c>
      <c r="G51" s="30">
        <f>IFERROR(VLOOKUP(B51,Processed_Data!A:C,3,0),"-")</f>
        <v>-0.6160000000000001</v>
      </c>
      <c r="H51" s="30" t="str">
        <f t="shared" si="0"/>
        <v>-</v>
      </c>
      <c r="I51" s="30" t="str">
        <f t="shared" si="1"/>
        <v>-</v>
      </c>
    </row>
    <row r="52" spans="1:9" x14ac:dyDescent="0.25">
      <c r="A52" s="37" t="s">
        <v>6</v>
      </c>
      <c r="B52" s="3" t="s">
        <v>102</v>
      </c>
      <c r="C52" s="38" t="s">
        <v>167</v>
      </c>
      <c r="D52" s="30" t="str">
        <f>IFERROR(VLOOKUP(Working!A52,Raw_Data!A:A,2,0),"-")</f>
        <v>-</v>
      </c>
      <c r="E52" s="30" t="str">
        <f>IFERROR(VLOOKUP(Working!A52,Raw_Data!A:A,3,0),"-")</f>
        <v>-</v>
      </c>
      <c r="F52" s="30">
        <f>IFERROR(VLOOKUP(B52,Processed_Data!A:C,2,0),"-")</f>
        <v>-1.177</v>
      </c>
      <c r="G52" s="30">
        <f>IFERROR(VLOOKUP(B52,Processed_Data!A:C,3,0),"-")</f>
        <v>-2.1560000000000001</v>
      </c>
      <c r="H52" s="30" t="str">
        <f t="shared" si="0"/>
        <v>-</v>
      </c>
      <c r="I52" s="30" t="str">
        <f t="shared" si="1"/>
        <v>-</v>
      </c>
    </row>
    <row r="53" spans="1:9" x14ac:dyDescent="0.25">
      <c r="A53" s="37" t="s">
        <v>5</v>
      </c>
      <c r="B53" s="3" t="s">
        <v>101</v>
      </c>
      <c r="C53" s="38" t="s">
        <v>167</v>
      </c>
      <c r="D53" s="30" t="str">
        <f>IFERROR(VLOOKUP(Working!A53,Raw_Data!A:A,2,0),"-")</f>
        <v>-</v>
      </c>
      <c r="E53" s="30" t="str">
        <f>IFERROR(VLOOKUP(Working!A53,Raw_Data!A:A,3,0),"-")</f>
        <v>-</v>
      </c>
      <c r="F53" s="30">
        <f>IFERROR(VLOOKUP(B53,Processed_Data!A:C,2,0),"-")</f>
        <v>-0.18700000000000003</v>
      </c>
      <c r="G53" s="30">
        <f>IFERROR(VLOOKUP(B53,Processed_Data!A:C,3,0),"-")</f>
        <v>-0.19799999999999998</v>
      </c>
      <c r="H53" s="30" t="str">
        <f t="shared" si="0"/>
        <v>-</v>
      </c>
      <c r="I53" s="30" t="str">
        <f t="shared" si="1"/>
        <v>-</v>
      </c>
    </row>
    <row r="54" spans="1:9" x14ac:dyDescent="0.25">
      <c r="A54" s="37" t="s">
        <v>27</v>
      </c>
      <c r="B54" s="3" t="s">
        <v>123</v>
      </c>
      <c r="C54" s="38" t="s">
        <v>167</v>
      </c>
      <c r="D54" s="30" t="str">
        <f>IFERROR(VLOOKUP(Working!A54,Raw_Data!A:A,2,0),"-")</f>
        <v>-</v>
      </c>
      <c r="E54" s="30" t="str">
        <f>IFERROR(VLOOKUP(Working!A54,Raw_Data!A:A,3,0),"-")</f>
        <v>-</v>
      </c>
      <c r="F54" s="30">
        <f>IFERROR(VLOOKUP(B54,Processed_Data!A:C,2,0),"-")</f>
        <v>-83.830999999999989</v>
      </c>
      <c r="G54" s="30">
        <f>IFERROR(VLOOKUP(B54,Processed_Data!A:C,3,0),"-")</f>
        <v>14.497000000000002</v>
      </c>
      <c r="H54" s="30" t="str">
        <f t="shared" si="0"/>
        <v>-</v>
      </c>
      <c r="I54" s="30" t="str">
        <f t="shared" si="1"/>
        <v>-</v>
      </c>
    </row>
    <row r="55" spans="1:9" x14ac:dyDescent="0.25">
      <c r="A55" s="37" t="s">
        <v>20</v>
      </c>
      <c r="B55" s="3" t="s">
        <v>116</v>
      </c>
      <c r="C55" s="38" t="s">
        <v>167</v>
      </c>
      <c r="D55" s="30" t="str">
        <f>IFERROR(VLOOKUP(Working!A55,Raw_Data!A:A,2,0),"-")</f>
        <v>-</v>
      </c>
      <c r="E55" s="30" t="str">
        <f>IFERROR(VLOOKUP(Working!A55,Raw_Data!A:A,3,0),"-")</f>
        <v>-</v>
      </c>
      <c r="F55" s="30">
        <f>IFERROR(VLOOKUP(B55,Processed_Data!A:C,2,0),"-")</f>
        <v>2.0649999999999999</v>
      </c>
      <c r="G55" s="30">
        <f>IFERROR(VLOOKUP(B55,Processed_Data!A:C,3,0),"-")</f>
        <v>-18.073</v>
      </c>
      <c r="H55" s="30" t="str">
        <f t="shared" si="0"/>
        <v>-</v>
      </c>
      <c r="I55" s="30" t="str">
        <f t="shared" si="1"/>
        <v>-</v>
      </c>
    </row>
    <row r="56" spans="1:9" x14ac:dyDescent="0.25">
      <c r="A56" s="37" t="s">
        <v>21</v>
      </c>
      <c r="B56" s="3" t="s">
        <v>117</v>
      </c>
      <c r="C56" s="38" t="s">
        <v>167</v>
      </c>
      <c r="D56" s="30" t="str">
        <f>IFERROR(VLOOKUP(Working!A56,Raw_Data!A:A,2,0),"-")</f>
        <v>-</v>
      </c>
      <c r="E56" s="30" t="str">
        <f>IFERROR(VLOOKUP(Working!A56,Raw_Data!A:A,3,0),"-")</f>
        <v>-</v>
      </c>
      <c r="F56" s="30">
        <f>IFERROR(VLOOKUP(B56,Processed_Data!A:C,2,0),"-")</f>
        <v>-2.2549999999999999</v>
      </c>
      <c r="G56" s="30">
        <f>IFERROR(VLOOKUP(B56,Processed_Data!A:C,3,0),"-")</f>
        <v>-4.851</v>
      </c>
      <c r="H56" s="30" t="str">
        <f t="shared" si="0"/>
        <v>-</v>
      </c>
      <c r="I56" s="30" t="str">
        <f t="shared" si="1"/>
        <v>-</v>
      </c>
    </row>
    <row r="57" spans="1:9" x14ac:dyDescent="0.25">
      <c r="A57" s="37" t="s">
        <v>22</v>
      </c>
      <c r="B57" s="3" t="s">
        <v>118</v>
      </c>
      <c r="C57" s="38" t="s">
        <v>167</v>
      </c>
      <c r="D57" s="30" t="str">
        <f>IFERROR(VLOOKUP(Working!A57,Raw_Data!A:A,2,0),"-")</f>
        <v>-</v>
      </c>
      <c r="E57" s="30" t="str">
        <f>IFERROR(VLOOKUP(Working!A57,Raw_Data!A:A,3,0),"-")</f>
        <v>-</v>
      </c>
      <c r="F57" s="30">
        <f>IFERROR(VLOOKUP(B57,Processed_Data!A:C,2,0),"-")</f>
        <v>-19.041</v>
      </c>
      <c r="G57" s="30">
        <f>IFERROR(VLOOKUP(B57,Processed_Data!A:C,3,0),"-")</f>
        <v>-7.5129999999999999</v>
      </c>
      <c r="H57" s="30" t="str">
        <f t="shared" si="0"/>
        <v>-</v>
      </c>
      <c r="I57" s="30" t="str">
        <f t="shared" si="1"/>
        <v>-</v>
      </c>
    </row>
    <row r="58" spans="1:9" x14ac:dyDescent="0.25">
      <c r="A58" s="37" t="s">
        <v>16</v>
      </c>
      <c r="B58" s="3" t="s">
        <v>112</v>
      </c>
      <c r="C58" s="38" t="s">
        <v>167</v>
      </c>
      <c r="D58" s="30" t="str">
        <f>IFERROR(VLOOKUP(Working!A58,Raw_Data!A:A,2,0),"-")</f>
        <v>-</v>
      </c>
      <c r="E58" s="30" t="str">
        <f>IFERROR(VLOOKUP(Working!A58,Raw_Data!A:A,3,0),"-")</f>
        <v>-</v>
      </c>
      <c r="F58" s="30">
        <f>IFERROR(VLOOKUP(B58,Processed_Data!A:C,2,0),"-")</f>
        <v>-493.60300000000001</v>
      </c>
      <c r="G58" s="30">
        <f>IFERROR(VLOOKUP(B58,Processed_Data!A:C,3,0),"-")</f>
        <v>0</v>
      </c>
      <c r="H58" s="30" t="str">
        <f t="shared" si="0"/>
        <v>-</v>
      </c>
      <c r="I58" s="30" t="str">
        <f t="shared" si="1"/>
        <v>-</v>
      </c>
    </row>
    <row r="59" spans="1:9" x14ac:dyDescent="0.25">
      <c r="A59" s="37" t="s">
        <v>33</v>
      </c>
      <c r="B59" s="3" t="s">
        <v>129</v>
      </c>
      <c r="C59" s="38" t="s">
        <v>167</v>
      </c>
      <c r="D59" s="30" t="str">
        <f>IFERROR(VLOOKUP(Working!A59,Raw_Data!A:A,2,0),"-")</f>
        <v>-</v>
      </c>
      <c r="E59" s="30" t="str">
        <f>IFERROR(VLOOKUP(Working!A59,Raw_Data!A:A,3,0),"-")</f>
        <v>-</v>
      </c>
      <c r="F59" s="30">
        <f>IFERROR(VLOOKUP(B59,Processed_Data!A:C,2,0),"-")</f>
        <v>-8.734</v>
      </c>
      <c r="G59" s="30">
        <f>IFERROR(VLOOKUP(B59,Processed_Data!A:C,3,0),"-")</f>
        <v>-16.830000000000002</v>
      </c>
      <c r="H59" s="30" t="str">
        <f t="shared" si="0"/>
        <v>-</v>
      </c>
      <c r="I59" s="30" t="str">
        <f t="shared" si="1"/>
        <v>-</v>
      </c>
    </row>
    <row r="60" spans="1:9" x14ac:dyDescent="0.25">
      <c r="A60" s="37" t="s">
        <v>23</v>
      </c>
      <c r="B60" s="3" t="s">
        <v>119</v>
      </c>
      <c r="C60" s="38" t="s">
        <v>167</v>
      </c>
      <c r="D60" s="30" t="str">
        <f>IFERROR(VLOOKUP(Working!A60,Raw_Data!A:A,2,0),"-")</f>
        <v>-</v>
      </c>
      <c r="E60" s="30" t="str">
        <f>IFERROR(VLOOKUP(Working!A60,Raw_Data!A:A,3,0),"-")</f>
        <v>-</v>
      </c>
      <c r="F60" s="30">
        <f>IFERROR(VLOOKUP(B60,Processed_Data!A:C,2,0),"-")</f>
        <v>-14.663</v>
      </c>
      <c r="G60" s="30">
        <f>IFERROR(VLOOKUP(B60,Processed_Data!A:C,3,0),"-")</f>
        <v>-16.016000000000002</v>
      </c>
      <c r="H60" s="30" t="str">
        <f t="shared" si="0"/>
        <v>-</v>
      </c>
      <c r="I60" s="30" t="str">
        <f t="shared" si="1"/>
        <v>-</v>
      </c>
    </row>
    <row r="61" spans="1:9" x14ac:dyDescent="0.25">
      <c r="A61" s="37" t="s">
        <v>19</v>
      </c>
      <c r="B61" s="3" t="s">
        <v>115</v>
      </c>
      <c r="C61" s="38" t="s">
        <v>167</v>
      </c>
      <c r="D61" s="30" t="str">
        <f>IFERROR(VLOOKUP(Working!A61,Raw_Data!A:A,2,0),"-")</f>
        <v>-</v>
      </c>
      <c r="E61" s="30" t="str">
        <f>IFERROR(VLOOKUP(Working!A61,Raw_Data!A:A,3,0),"-")</f>
        <v>-</v>
      </c>
      <c r="F61" s="30">
        <f>IFERROR(VLOOKUP(B61,Processed_Data!A:C,2,0),"-")</f>
        <v>-15.455</v>
      </c>
      <c r="G61" s="30">
        <f>IFERROR(VLOOKUP(B61,Processed_Data!A:C,3,0),"-")</f>
        <v>3.4790000000000001</v>
      </c>
      <c r="H61" s="30" t="str">
        <f t="shared" si="0"/>
        <v>-</v>
      </c>
      <c r="I61" s="30" t="str">
        <f t="shared" si="1"/>
        <v>-</v>
      </c>
    </row>
    <row r="62" spans="1:9" x14ac:dyDescent="0.25">
      <c r="A62" s="37" t="s">
        <v>25</v>
      </c>
      <c r="B62" s="3" t="s">
        <v>121</v>
      </c>
      <c r="C62" s="38" t="s">
        <v>167</v>
      </c>
      <c r="D62" s="30" t="str">
        <f>IFERROR(VLOOKUP(Working!A62,Raw_Data!A:A,2,0),"-")</f>
        <v>-</v>
      </c>
      <c r="E62" s="30" t="str">
        <f>IFERROR(VLOOKUP(Working!A62,Raw_Data!A:A,3,0),"-")</f>
        <v>-</v>
      </c>
      <c r="F62" s="30">
        <f>IFERROR(VLOOKUP(B62,Processed_Data!A:C,2,0),"-")</f>
        <v>-5.3789999999999996</v>
      </c>
      <c r="G62" s="30">
        <f>IFERROR(VLOOKUP(B62,Processed_Data!A:C,3,0),"-")</f>
        <v>-22.495000000000001</v>
      </c>
      <c r="H62" s="30" t="str">
        <f t="shared" si="0"/>
        <v>-</v>
      </c>
      <c r="I62" s="30" t="str">
        <f t="shared" si="1"/>
        <v>-</v>
      </c>
    </row>
    <row r="63" spans="1:9" x14ac:dyDescent="0.25">
      <c r="A63" s="37" t="s">
        <v>17</v>
      </c>
      <c r="B63" s="3" t="s">
        <v>113</v>
      </c>
      <c r="C63" s="38" t="s">
        <v>167</v>
      </c>
      <c r="D63" s="30" t="str">
        <f>IFERROR(VLOOKUP(Working!A63,Raw_Data!A:A,2,0),"-")</f>
        <v>-</v>
      </c>
      <c r="E63" s="30" t="str">
        <f>IFERROR(VLOOKUP(Working!A63,Raw_Data!A:A,3,0),"-")</f>
        <v>-</v>
      </c>
      <c r="F63" s="30">
        <f>IFERROR(VLOOKUP(B63,Processed_Data!A:C,2,0),"-")</f>
        <v>-566.85200000000009</v>
      </c>
      <c r="G63" s="30">
        <f>IFERROR(VLOOKUP(B63,Processed_Data!A:C,3,0),"-")</f>
        <v>0</v>
      </c>
      <c r="H63" s="30" t="str">
        <f t="shared" si="0"/>
        <v>-</v>
      </c>
      <c r="I63" s="30" t="str">
        <f t="shared" si="1"/>
        <v>-</v>
      </c>
    </row>
    <row r="64" spans="1:9" x14ac:dyDescent="0.25">
      <c r="A64" s="7" t="s">
        <v>179</v>
      </c>
      <c r="B64" s="7" t="s">
        <v>168</v>
      </c>
      <c r="C64" s="7" t="s">
        <v>167</v>
      </c>
      <c r="D64" s="40" t="str">
        <f>IFERROR(VLOOKUP(Working!A64,Raw_Data!A:A,2,0),"-")</f>
        <v>-</v>
      </c>
      <c r="E64" s="40" t="str">
        <f>IFERROR(VLOOKUP(Working!A64,Raw_Data!A:A,3,0),"-")</f>
        <v>-</v>
      </c>
      <c r="F64" s="40" t="str">
        <f>IFERROR(VLOOKUP(B64,Processed_Data!A:C,2,0),"-")</f>
        <v>-</v>
      </c>
      <c r="G64" s="40" t="str">
        <f>IFERROR(VLOOKUP(B64,Processed_Data!A:C,3,0),"-")</f>
        <v>-</v>
      </c>
      <c r="H64" s="40" t="str">
        <f t="shared" si="0"/>
        <v>-</v>
      </c>
      <c r="I64" s="40" t="str">
        <f t="shared" si="1"/>
        <v>-</v>
      </c>
    </row>
    <row r="65" spans="1:9" x14ac:dyDescent="0.25">
      <c r="A65" s="37" t="s">
        <v>24</v>
      </c>
      <c r="B65" s="3" t="s">
        <v>120</v>
      </c>
      <c r="C65" s="38" t="s">
        <v>167</v>
      </c>
      <c r="D65" s="30" t="str">
        <f>IFERROR(VLOOKUP(Working!A65,Raw_Data!A:A,2,0),"-")</f>
        <v>-</v>
      </c>
      <c r="E65" s="30" t="str">
        <f>IFERROR(VLOOKUP(Working!A65,Raw_Data!A:A,3,0),"-")</f>
        <v>-</v>
      </c>
      <c r="F65" s="30">
        <f>IFERROR(VLOOKUP(B65,Processed_Data!A:C,2,0),"-")</f>
        <v>-314.98500000000001</v>
      </c>
      <c r="G65" s="30">
        <f>IFERROR(VLOOKUP(B65,Processed_Data!A:C,3,0),"-")</f>
        <v>0</v>
      </c>
      <c r="H65" s="30" t="str">
        <f t="shared" si="0"/>
        <v>-</v>
      </c>
      <c r="I65" s="30" t="str">
        <f t="shared" si="1"/>
        <v>-</v>
      </c>
    </row>
    <row r="66" spans="1:9" x14ac:dyDescent="0.25">
      <c r="A66" s="37" t="s">
        <v>65</v>
      </c>
      <c r="B66" s="3" t="s">
        <v>161</v>
      </c>
      <c r="C66" s="38" t="s">
        <v>164</v>
      </c>
      <c r="D66" s="30" t="str">
        <f>IFERROR(VLOOKUP(Working!A66,Raw_Data!A:A,2,0),"-")</f>
        <v>-</v>
      </c>
      <c r="E66" s="30" t="str">
        <f>IFERROR(VLOOKUP(Working!A66,Raw_Data!A:A,3,0),"-")</f>
        <v>-</v>
      </c>
      <c r="F66" s="30">
        <f>IFERROR(VLOOKUP(B66,Processed_Data!A:C,2,0),"-")</f>
        <v>-36.750999999999998</v>
      </c>
      <c r="G66" s="30">
        <f>IFERROR(VLOOKUP(B66,Processed_Data!A:C,3,0),"-")</f>
        <v>-10.142000000000001</v>
      </c>
      <c r="H66" s="30" t="str">
        <f t="shared" si="0"/>
        <v>-</v>
      </c>
      <c r="I66" s="30" t="str">
        <f t="shared" si="1"/>
        <v>-</v>
      </c>
    </row>
    <row r="67" spans="1:9" x14ac:dyDescent="0.25">
      <c r="A67" s="37" t="s">
        <v>64</v>
      </c>
      <c r="B67" s="3" t="s">
        <v>160</v>
      </c>
      <c r="C67" s="38" t="s">
        <v>164</v>
      </c>
      <c r="D67" s="30" t="str">
        <f>IFERROR(VLOOKUP(Working!A67,Raw_Data!A:A,2,0),"-")</f>
        <v>-</v>
      </c>
      <c r="E67" s="30" t="str">
        <f>IFERROR(VLOOKUP(Working!A67,Raw_Data!A:A,3,0),"-")</f>
        <v>-</v>
      </c>
      <c r="F67" s="30">
        <f>IFERROR(VLOOKUP(B67,Processed_Data!A:C,2,0),"-")</f>
        <v>-14.949</v>
      </c>
      <c r="G67" s="30">
        <f>IFERROR(VLOOKUP(B67,Processed_Data!A:C,3,0),"-")</f>
        <v>-3.8170000000000002</v>
      </c>
      <c r="H67" s="30" t="str">
        <f t="shared" si="0"/>
        <v>-</v>
      </c>
      <c r="I67" s="30" t="str">
        <f t="shared" si="1"/>
        <v>-</v>
      </c>
    </row>
    <row r="68" spans="1:9" x14ac:dyDescent="0.25">
      <c r="A68" s="37" t="s">
        <v>63</v>
      </c>
      <c r="B68" s="3" t="s">
        <v>159</v>
      </c>
      <c r="C68" s="38" t="s">
        <v>164</v>
      </c>
      <c r="D68" s="30" t="str">
        <f>IFERROR(VLOOKUP(Working!A68,Raw_Data!A:A,2,0),"-")</f>
        <v>-</v>
      </c>
      <c r="E68" s="30" t="str">
        <f>IFERROR(VLOOKUP(Working!A68,Raw_Data!A:A,3,0),"-")</f>
        <v>-</v>
      </c>
      <c r="F68" s="30">
        <f>IFERROR(VLOOKUP(B68,Processed_Data!A:C,2,0),"-")</f>
        <v>-0.56100000000000005</v>
      </c>
      <c r="G68" s="30">
        <f>IFERROR(VLOOKUP(B68,Processed_Data!A:C,3,0),"-")</f>
        <v>-0.30800000000000005</v>
      </c>
      <c r="H68" s="30" t="str">
        <f t="shared" ref="H68:H109" si="2">IFERROR((D68-F68)/D68,"-")</f>
        <v>-</v>
      </c>
      <c r="I68" s="30" t="str">
        <f t="shared" ref="I68:I109" si="3">IFERROR((E68-G68)/E68,"-")</f>
        <v>-</v>
      </c>
    </row>
    <row r="69" spans="1:9" x14ac:dyDescent="0.25">
      <c r="A69" s="37" t="s">
        <v>62</v>
      </c>
      <c r="B69" s="3" t="s">
        <v>158</v>
      </c>
      <c r="C69" s="38" t="s">
        <v>164</v>
      </c>
      <c r="D69" s="30" t="str">
        <f>IFERROR(VLOOKUP(Working!A69,Raw_Data!A:A,2,0),"-")</f>
        <v>-</v>
      </c>
      <c r="E69" s="30" t="str">
        <f>IFERROR(VLOOKUP(Working!A69,Raw_Data!A:A,3,0),"-")</f>
        <v>-</v>
      </c>
      <c r="F69" s="30">
        <f>IFERROR(VLOOKUP(B69,Processed_Data!A:C,2,0),"-")</f>
        <v>-3.355</v>
      </c>
      <c r="G69" s="30">
        <f>IFERROR(VLOOKUP(B69,Processed_Data!A:C,3,0),"-")</f>
        <v>-2.4089999999999998</v>
      </c>
      <c r="H69" s="30" t="str">
        <f t="shared" si="2"/>
        <v>-</v>
      </c>
      <c r="I69" s="30" t="str">
        <f t="shared" si="3"/>
        <v>-</v>
      </c>
    </row>
    <row r="70" spans="1:9" x14ac:dyDescent="0.25">
      <c r="A70" s="7"/>
      <c r="B70" s="7" t="s">
        <v>162</v>
      </c>
      <c r="C70" s="7" t="s">
        <v>164</v>
      </c>
      <c r="D70" s="40" t="str">
        <f>IFERROR(VLOOKUP(Working!A70,Raw_Data!A:A,2,0),"-")</f>
        <v>-</v>
      </c>
      <c r="E70" s="40" t="str">
        <f>IFERROR(VLOOKUP(Working!A70,Raw_Data!A:A,3,0),"-")</f>
        <v>-</v>
      </c>
      <c r="F70" s="40" t="str">
        <f>IFERROR(VLOOKUP(B70,Processed_Data!A:C,2,0),"-")</f>
        <v>-</v>
      </c>
      <c r="G70" s="40" t="str">
        <f>IFERROR(VLOOKUP(B70,Processed_Data!A:C,3,0),"-")</f>
        <v>-</v>
      </c>
      <c r="H70" s="40" t="str">
        <f t="shared" si="2"/>
        <v>-</v>
      </c>
      <c r="I70" s="40" t="str">
        <f t="shared" si="3"/>
        <v>-</v>
      </c>
    </row>
    <row r="71" spans="1:9" x14ac:dyDescent="0.25">
      <c r="A71" s="37" t="s">
        <v>66</v>
      </c>
      <c r="B71" s="3" t="s">
        <v>83</v>
      </c>
      <c r="C71" s="38" t="s">
        <v>163</v>
      </c>
      <c r="D71" s="30" t="str">
        <f>IFERROR(VLOOKUP(Working!A71,Raw_Data!A:A,2,0),"-")</f>
        <v>-</v>
      </c>
      <c r="E71" s="30" t="str">
        <f>IFERROR(VLOOKUP(Working!A71,Raw_Data!A:A,3,0),"-")</f>
        <v>-</v>
      </c>
      <c r="F71" s="30">
        <f>IFERROR(VLOOKUP(B71,Processed_Data!A:C,2,0),"-")</f>
        <v>0.73799999999999999</v>
      </c>
      <c r="G71" s="30">
        <f>IFERROR(VLOOKUP(B71,Processed_Data!A:C,3,0),"-")</f>
        <v>-2.4969999999999999</v>
      </c>
      <c r="H71" s="30" t="str">
        <f t="shared" si="2"/>
        <v>-</v>
      </c>
      <c r="I71" s="30" t="str">
        <f t="shared" si="3"/>
        <v>-</v>
      </c>
    </row>
    <row r="72" spans="1:9" x14ac:dyDescent="0.25">
      <c r="A72" s="37" t="s">
        <v>71</v>
      </c>
      <c r="B72" s="3" t="s">
        <v>84</v>
      </c>
      <c r="C72" s="38" t="s">
        <v>163</v>
      </c>
      <c r="D72" s="30" t="str">
        <f>IFERROR(VLOOKUP(Working!A72,Raw_Data!A:A,2,0),"-")</f>
        <v>-</v>
      </c>
      <c r="E72" s="30" t="str">
        <f>IFERROR(VLOOKUP(Working!A72,Raw_Data!A:A,3,0),"-")</f>
        <v>-</v>
      </c>
      <c r="F72" s="30">
        <f>IFERROR(VLOOKUP(B72,Processed_Data!A:C,2,0),"-")</f>
        <v>-53.999000000000002</v>
      </c>
      <c r="G72" s="30">
        <f>IFERROR(VLOOKUP(B72,Processed_Data!A:C,3,0),"-")</f>
        <v>-52.777999999999999</v>
      </c>
      <c r="H72" s="30" t="str">
        <f t="shared" si="2"/>
        <v>-</v>
      </c>
      <c r="I72" s="30" t="str">
        <f t="shared" si="3"/>
        <v>-</v>
      </c>
    </row>
    <row r="73" spans="1:9" x14ac:dyDescent="0.25">
      <c r="A73" s="37" t="s">
        <v>67</v>
      </c>
      <c r="B73" s="3" t="s">
        <v>85</v>
      </c>
      <c r="C73" s="38" t="s">
        <v>163</v>
      </c>
      <c r="D73" s="30" t="str">
        <f>IFERROR(VLOOKUP(Working!A73,Raw_Data!A:A,2,0),"-")</f>
        <v>-</v>
      </c>
      <c r="E73" s="30" t="str">
        <f>IFERROR(VLOOKUP(Working!A73,Raw_Data!A:A,3,0),"-")</f>
        <v>-</v>
      </c>
      <c r="F73" s="30">
        <f>IFERROR(VLOOKUP(B73,Processed_Data!A:C,2,0),"-")</f>
        <v>-74.965000000000003</v>
      </c>
      <c r="G73" s="30">
        <f>IFERROR(VLOOKUP(B73,Processed_Data!A:C,3,0),"-")</f>
        <v>-148.98400000000001</v>
      </c>
      <c r="H73" s="30" t="str">
        <f t="shared" si="2"/>
        <v>-</v>
      </c>
      <c r="I73" s="30" t="str">
        <f t="shared" si="3"/>
        <v>-</v>
      </c>
    </row>
    <row r="74" spans="1:9" x14ac:dyDescent="0.25">
      <c r="A74" s="37" t="s">
        <v>77</v>
      </c>
      <c r="B74" s="3" t="s">
        <v>86</v>
      </c>
      <c r="C74" s="38" t="s">
        <v>163</v>
      </c>
      <c r="D74" s="30" t="str">
        <f>IFERROR(VLOOKUP(Working!A74,Raw_Data!A:A,2,0),"-")</f>
        <v>-</v>
      </c>
      <c r="E74" s="30" t="str">
        <f>IFERROR(VLOOKUP(Working!A74,Raw_Data!A:A,3,0),"-")</f>
        <v>-</v>
      </c>
      <c r="F74" s="30">
        <f>IFERROR(VLOOKUP(B74,Processed_Data!A:C,2,0),"-")</f>
        <v>-61.589000000000006</v>
      </c>
      <c r="G74" s="30">
        <f>IFERROR(VLOOKUP(B74,Processed_Data!A:C,3,0),"-")</f>
        <v>-96.899000000000001</v>
      </c>
      <c r="H74" s="30" t="str">
        <f t="shared" si="2"/>
        <v>-</v>
      </c>
      <c r="I74" s="30" t="str">
        <f t="shared" si="3"/>
        <v>-</v>
      </c>
    </row>
    <row r="75" spans="1:9" x14ac:dyDescent="0.25">
      <c r="A75" s="37" t="s">
        <v>76</v>
      </c>
      <c r="B75" s="3" t="s">
        <v>87</v>
      </c>
      <c r="C75" s="38" t="s">
        <v>163</v>
      </c>
      <c r="D75" s="30" t="str">
        <f>IFERROR(VLOOKUP(Working!A75,Raw_Data!A:A,2,0),"-")</f>
        <v>-</v>
      </c>
      <c r="E75" s="30" t="str">
        <f>IFERROR(VLOOKUP(Working!A75,Raw_Data!A:A,3,0),"-")</f>
        <v>-</v>
      </c>
      <c r="F75" s="30">
        <f>IFERROR(VLOOKUP(B75,Processed_Data!A:C,2,0),"-")</f>
        <v>-31.591999999999999</v>
      </c>
      <c r="G75" s="30">
        <f>IFERROR(VLOOKUP(B75,Processed_Data!A:C,3,0),"-")</f>
        <v>-62.777000000000001</v>
      </c>
      <c r="H75" s="30" t="str">
        <f t="shared" si="2"/>
        <v>-</v>
      </c>
      <c r="I75" s="30" t="str">
        <f t="shared" si="3"/>
        <v>-</v>
      </c>
    </row>
    <row r="76" spans="1:9" x14ac:dyDescent="0.25">
      <c r="A76" s="37" t="s">
        <v>70</v>
      </c>
      <c r="B76" s="3" t="s">
        <v>88</v>
      </c>
      <c r="C76" s="38" t="s">
        <v>163</v>
      </c>
      <c r="D76" s="30" t="str">
        <f>IFERROR(VLOOKUP(Working!A76,Raw_Data!A:A,2,0),"-")</f>
        <v>-</v>
      </c>
      <c r="E76" s="30" t="str">
        <f>IFERROR(VLOOKUP(Working!A76,Raw_Data!A:A,3,0),"-")</f>
        <v>-</v>
      </c>
      <c r="F76" s="30">
        <f>IFERROR(VLOOKUP(B76,Processed_Data!A:C,2,0),"-")</f>
        <v>-1.881</v>
      </c>
      <c r="G76" s="30">
        <f>IFERROR(VLOOKUP(B76,Processed_Data!A:C,3,0),"-")</f>
        <v>-1.716</v>
      </c>
      <c r="H76" s="30" t="str">
        <f t="shared" si="2"/>
        <v>-</v>
      </c>
      <c r="I76" s="30" t="str">
        <f t="shared" si="3"/>
        <v>-</v>
      </c>
    </row>
    <row r="77" spans="1:9" x14ac:dyDescent="0.25">
      <c r="A77" s="37" t="s">
        <v>69</v>
      </c>
      <c r="B77" s="3" t="s">
        <v>89</v>
      </c>
      <c r="C77" s="38" t="s">
        <v>163</v>
      </c>
      <c r="D77" s="30" t="str">
        <f>IFERROR(VLOOKUP(Working!A77,Raw_Data!A:A,2,0),"-")</f>
        <v>-</v>
      </c>
      <c r="E77" s="30" t="str">
        <f>IFERROR(VLOOKUP(Working!A77,Raw_Data!A:A,3,0),"-")</f>
        <v>-</v>
      </c>
      <c r="F77" s="30">
        <f>IFERROR(VLOOKUP(B77,Processed_Data!A:C,2,0),"-")</f>
        <v>-21.163999999999998</v>
      </c>
      <c r="G77" s="30">
        <f>IFERROR(VLOOKUP(B77,Processed_Data!A:C,3,0),"-")</f>
        <v>-376.34300000000002</v>
      </c>
      <c r="H77" s="30" t="str">
        <f t="shared" si="2"/>
        <v>-</v>
      </c>
      <c r="I77" s="30" t="str">
        <f t="shared" si="3"/>
        <v>-</v>
      </c>
    </row>
    <row r="78" spans="1:9" x14ac:dyDescent="0.25">
      <c r="A78" s="37" t="s">
        <v>73</v>
      </c>
      <c r="B78" s="3" t="s">
        <v>90</v>
      </c>
      <c r="C78" s="38" t="s">
        <v>163</v>
      </c>
      <c r="D78" s="30" t="str">
        <f>IFERROR(VLOOKUP(Working!A78,Raw_Data!A:A,2,0),"-")</f>
        <v>-</v>
      </c>
      <c r="E78" s="30" t="str">
        <f>IFERROR(VLOOKUP(Working!A78,Raw_Data!A:A,3,0),"-")</f>
        <v>-</v>
      </c>
      <c r="F78" s="30">
        <f>IFERROR(VLOOKUP(B78,Processed_Data!A:C,2,0),"-")</f>
        <v>-19.646000000000001</v>
      </c>
      <c r="G78" s="30">
        <f>IFERROR(VLOOKUP(B78,Processed_Data!A:C,3,0),"-")</f>
        <v>-39.049999999999997</v>
      </c>
      <c r="H78" s="30" t="str">
        <f t="shared" si="2"/>
        <v>-</v>
      </c>
      <c r="I78" s="30" t="str">
        <f t="shared" si="3"/>
        <v>-</v>
      </c>
    </row>
    <row r="79" spans="1:9" x14ac:dyDescent="0.25">
      <c r="A79" s="37" t="s">
        <v>72</v>
      </c>
      <c r="B79" s="3" t="s">
        <v>91</v>
      </c>
      <c r="C79" s="38" t="s">
        <v>163</v>
      </c>
      <c r="D79" s="30" t="str">
        <f>IFERROR(VLOOKUP(Working!A79,Raw_Data!A:A,2,0),"-")</f>
        <v>-</v>
      </c>
      <c r="E79" s="30" t="str">
        <f>IFERROR(VLOOKUP(Working!A79,Raw_Data!A:A,3,0),"-")</f>
        <v>-</v>
      </c>
      <c r="F79" s="30">
        <f>IFERROR(VLOOKUP(B79,Processed_Data!A:C,2,0),"-")</f>
        <v>183.60899999999998</v>
      </c>
      <c r="G79" s="30">
        <f>IFERROR(VLOOKUP(B79,Processed_Data!A:C,3,0),"-")</f>
        <v>-323.81799999999998</v>
      </c>
      <c r="H79" s="30" t="str">
        <f t="shared" si="2"/>
        <v>-</v>
      </c>
      <c r="I79" s="30" t="str">
        <f t="shared" si="3"/>
        <v>-</v>
      </c>
    </row>
    <row r="80" spans="1:9" x14ac:dyDescent="0.25">
      <c r="A80" s="37" t="s">
        <v>79</v>
      </c>
      <c r="B80" s="3" t="s">
        <v>92</v>
      </c>
      <c r="C80" s="38" t="s">
        <v>163</v>
      </c>
      <c r="D80" s="30" t="str">
        <f>IFERROR(VLOOKUP(Working!A80,Raw_Data!A:A,2,0),"-")</f>
        <v>-</v>
      </c>
      <c r="E80" s="30" t="str">
        <f>IFERROR(VLOOKUP(Working!A80,Raw_Data!A:A,3,0),"-")</f>
        <v>-</v>
      </c>
      <c r="F80" s="30">
        <f>IFERROR(VLOOKUP(B80,Processed_Data!A:C,2,0),"-")</f>
        <v>12.2</v>
      </c>
      <c r="G80" s="30">
        <f>IFERROR(VLOOKUP(B80,Processed_Data!A:C,3,0),"-")</f>
        <v>-42.227999999999994</v>
      </c>
      <c r="H80" s="30" t="str">
        <f t="shared" si="2"/>
        <v>-</v>
      </c>
      <c r="I80" s="30" t="str">
        <f t="shared" si="3"/>
        <v>-</v>
      </c>
    </row>
    <row r="81" spans="1:9" x14ac:dyDescent="0.25">
      <c r="A81" s="37" t="s">
        <v>68</v>
      </c>
      <c r="B81" s="3" t="s">
        <v>93</v>
      </c>
      <c r="C81" s="38" t="s">
        <v>163</v>
      </c>
      <c r="D81" s="30" t="str">
        <f>IFERROR(VLOOKUP(Working!A81,Raw_Data!A:A,2,0),"-")</f>
        <v>-</v>
      </c>
      <c r="E81" s="30" t="str">
        <f>IFERROR(VLOOKUP(Working!A81,Raw_Data!A:A,3,0),"-")</f>
        <v>-</v>
      </c>
      <c r="F81" s="30">
        <f>IFERROR(VLOOKUP(B81,Processed_Data!A:C,2,0),"-")</f>
        <v>-72.467999999999989</v>
      </c>
      <c r="G81" s="30">
        <f>IFERROR(VLOOKUP(B81,Processed_Data!A:C,3,0),"-")</f>
        <v>-142.57100000000003</v>
      </c>
      <c r="H81" s="30" t="str">
        <f t="shared" si="2"/>
        <v>-</v>
      </c>
      <c r="I81" s="30" t="str">
        <f t="shared" si="3"/>
        <v>-</v>
      </c>
    </row>
    <row r="82" spans="1:9" x14ac:dyDescent="0.25">
      <c r="A82" s="37" t="s">
        <v>75</v>
      </c>
      <c r="B82" s="3" t="s">
        <v>94</v>
      </c>
      <c r="C82" s="38" t="s">
        <v>163</v>
      </c>
      <c r="D82" s="30" t="str">
        <f>IFERROR(VLOOKUP(Working!A82,Raw_Data!A:A,2,0),"-")</f>
        <v>-</v>
      </c>
      <c r="E82" s="30" t="str">
        <f>IFERROR(VLOOKUP(Working!A82,Raw_Data!A:A,3,0),"-")</f>
        <v>-</v>
      </c>
      <c r="F82" s="30">
        <f>IFERROR(VLOOKUP(B82,Processed_Data!A:C,2,0),"-")</f>
        <v>-285.21900000000005</v>
      </c>
      <c r="G82" s="30">
        <f>IFERROR(VLOOKUP(B82,Processed_Data!A:C,3,0),"-")</f>
        <v>-257.279</v>
      </c>
      <c r="H82" s="30" t="str">
        <f t="shared" si="2"/>
        <v>-</v>
      </c>
      <c r="I82" s="30" t="str">
        <f t="shared" si="3"/>
        <v>-</v>
      </c>
    </row>
    <row r="83" spans="1:9" x14ac:dyDescent="0.25">
      <c r="A83" s="37" t="s">
        <v>74</v>
      </c>
      <c r="B83" s="3" t="s">
        <v>95</v>
      </c>
      <c r="C83" s="38" t="s">
        <v>163</v>
      </c>
      <c r="D83" s="30" t="str">
        <f>IFERROR(VLOOKUP(Working!A83,Raw_Data!A:A,2,0),"-")</f>
        <v>-</v>
      </c>
      <c r="E83" s="30" t="str">
        <f>IFERROR(VLOOKUP(Working!A83,Raw_Data!A:A,3,0),"-")</f>
        <v>-</v>
      </c>
      <c r="F83" s="30">
        <f>IFERROR(VLOOKUP(B83,Processed_Data!A:C,2,0),"-")</f>
        <v>19.071000000000002</v>
      </c>
      <c r="G83" s="30">
        <f>IFERROR(VLOOKUP(B83,Processed_Data!A:C,3,0),"-")</f>
        <v>-86.724000000000004</v>
      </c>
      <c r="H83" s="30" t="str">
        <f t="shared" si="2"/>
        <v>-</v>
      </c>
      <c r="I83" s="30" t="str">
        <f t="shared" si="3"/>
        <v>-</v>
      </c>
    </row>
    <row r="84" spans="1:9" x14ac:dyDescent="0.25">
      <c r="A84" s="37" t="s">
        <v>80</v>
      </c>
      <c r="B84" s="3" t="s">
        <v>96</v>
      </c>
      <c r="C84" s="38" t="s">
        <v>163</v>
      </c>
      <c r="D84" s="30" t="str">
        <f>IFERROR(VLOOKUP(Working!A84,Raw_Data!A:A,2,0),"-")</f>
        <v>-</v>
      </c>
      <c r="E84" s="30" t="str">
        <f>IFERROR(VLOOKUP(Working!A84,Raw_Data!A:A,3,0),"-")</f>
        <v>-</v>
      </c>
      <c r="F84" s="30">
        <f>IFERROR(VLOOKUP(B84,Processed_Data!A:C,2,0),"-")</f>
        <v>3.4649999999999999</v>
      </c>
      <c r="G84" s="30">
        <f>IFERROR(VLOOKUP(B84,Processed_Data!A:C,3,0),"-")</f>
        <v>-19.459000000000003</v>
      </c>
      <c r="H84" s="30" t="str">
        <f t="shared" si="2"/>
        <v>-</v>
      </c>
      <c r="I84" s="30" t="str">
        <f t="shared" si="3"/>
        <v>-</v>
      </c>
    </row>
    <row r="85" spans="1:9" x14ac:dyDescent="0.25">
      <c r="A85" s="21" t="s">
        <v>225</v>
      </c>
      <c r="B85" s="3" t="s">
        <v>226</v>
      </c>
      <c r="C85" s="38" t="s">
        <v>240</v>
      </c>
      <c r="D85" s="30" t="str">
        <f>IFERROR(VLOOKUP(Working!A85,Raw_Data!A:A,2,0),"-")</f>
        <v>-</v>
      </c>
      <c r="E85" s="30" t="str">
        <f>IFERROR(VLOOKUP(Working!A85,Raw_Data!A:A,3,0),"-")</f>
        <v>-</v>
      </c>
      <c r="F85" s="30" t="str">
        <f>IFERROR(VLOOKUP(B85,Processed_Data!A:C,2,0),"-")</f>
        <v>-</v>
      </c>
      <c r="G85" s="30" t="str">
        <f>IFERROR(VLOOKUP(B85,Processed_Data!A:C,3,0),"-")</f>
        <v>-</v>
      </c>
      <c r="H85" s="30" t="str">
        <f t="shared" si="2"/>
        <v>-</v>
      </c>
      <c r="I85" s="30" t="str">
        <f t="shared" si="3"/>
        <v>-</v>
      </c>
    </row>
    <row r="86" spans="1:9" x14ac:dyDescent="0.25">
      <c r="A86" s="21" t="s">
        <v>212</v>
      </c>
      <c r="B86" s="3" t="s">
        <v>227</v>
      </c>
      <c r="C86" s="38" t="s">
        <v>240</v>
      </c>
      <c r="D86" s="30" t="str">
        <f>IFERROR(VLOOKUP(Working!A86,Raw_Data!A:A,2,0),"-")</f>
        <v>-</v>
      </c>
      <c r="E86" s="30" t="str">
        <f>IFERROR(VLOOKUP(Working!A86,Raw_Data!A:A,3,0),"-")</f>
        <v>-</v>
      </c>
      <c r="F86" s="30" t="str">
        <f>IFERROR(VLOOKUP(B86,Processed_Data!A:C,2,0),"-")</f>
        <v>-</v>
      </c>
      <c r="G86" s="30" t="str">
        <f>IFERROR(VLOOKUP(B86,Processed_Data!A:C,3,0),"-")</f>
        <v>-</v>
      </c>
      <c r="H86" s="30" t="str">
        <f t="shared" si="2"/>
        <v>-</v>
      </c>
      <c r="I86" s="30" t="str">
        <f t="shared" si="3"/>
        <v>-</v>
      </c>
    </row>
    <row r="87" spans="1:9" x14ac:dyDescent="0.25">
      <c r="A87" s="21" t="s">
        <v>228</v>
      </c>
      <c r="B87" s="3" t="s">
        <v>229</v>
      </c>
      <c r="C87" s="38" t="s">
        <v>240</v>
      </c>
      <c r="D87" s="30" t="str">
        <f>IFERROR(VLOOKUP(Working!A87,Raw_Data!A:A,2,0),"-")</f>
        <v>-</v>
      </c>
      <c r="E87" s="30" t="str">
        <f>IFERROR(VLOOKUP(Working!A87,Raw_Data!A:A,3,0),"-")</f>
        <v>-</v>
      </c>
      <c r="F87" s="30" t="str">
        <f>IFERROR(VLOOKUP(B87,Processed_Data!A:C,2,0),"-")</f>
        <v>-</v>
      </c>
      <c r="G87" s="30" t="str">
        <f>IFERROR(VLOOKUP(B87,Processed_Data!A:C,3,0),"-")</f>
        <v>-</v>
      </c>
      <c r="H87" s="30" t="str">
        <f t="shared" si="2"/>
        <v>-</v>
      </c>
      <c r="I87" s="30" t="str">
        <f t="shared" si="3"/>
        <v>-</v>
      </c>
    </row>
    <row r="88" spans="1:9" x14ac:dyDescent="0.25">
      <c r="A88" s="21" t="s">
        <v>230</v>
      </c>
      <c r="B88" s="3" t="s">
        <v>231</v>
      </c>
      <c r="C88" s="38" t="s">
        <v>240</v>
      </c>
      <c r="D88" s="30" t="str">
        <f>IFERROR(VLOOKUP(Working!A88,Raw_Data!A:A,2,0),"-")</f>
        <v>-</v>
      </c>
      <c r="E88" s="30" t="str">
        <f>IFERROR(VLOOKUP(Working!A88,Raw_Data!A:A,3,0),"-")</f>
        <v>-</v>
      </c>
      <c r="F88" s="30" t="str">
        <f>IFERROR(VLOOKUP(B88,Processed_Data!A:C,2,0),"-")</f>
        <v>-</v>
      </c>
      <c r="G88" s="30" t="str">
        <f>IFERROR(VLOOKUP(B88,Processed_Data!A:C,3,0),"-")</f>
        <v>-</v>
      </c>
      <c r="H88" s="30" t="str">
        <f t="shared" si="2"/>
        <v>-</v>
      </c>
      <c r="I88" s="30" t="str">
        <f t="shared" si="3"/>
        <v>-</v>
      </c>
    </row>
    <row r="89" spans="1:9" x14ac:dyDescent="0.25">
      <c r="A89" s="21" t="s">
        <v>232</v>
      </c>
      <c r="B89" s="3" t="s">
        <v>233</v>
      </c>
      <c r="C89" s="38" t="s">
        <v>240</v>
      </c>
      <c r="D89" s="30" t="str">
        <f>IFERROR(VLOOKUP(Working!A89,Raw_Data!A:A,2,0),"-")</f>
        <v>-</v>
      </c>
      <c r="E89" s="30" t="str">
        <f>IFERROR(VLOOKUP(Working!A89,Raw_Data!A:A,3,0),"-")</f>
        <v>-</v>
      </c>
      <c r="F89" s="30" t="str">
        <f>IFERROR(VLOOKUP(B89,Processed_Data!A:C,2,0),"-")</f>
        <v>-</v>
      </c>
      <c r="G89" s="30" t="str">
        <f>IFERROR(VLOOKUP(B89,Processed_Data!A:C,3,0),"-")</f>
        <v>-</v>
      </c>
      <c r="H89" s="30" t="str">
        <f t="shared" si="2"/>
        <v>-</v>
      </c>
      <c r="I89" s="30" t="str">
        <f t="shared" si="3"/>
        <v>-</v>
      </c>
    </row>
    <row r="90" spans="1:9" x14ac:dyDescent="0.25">
      <c r="A90" s="21" t="s">
        <v>215</v>
      </c>
      <c r="B90" s="3" t="s">
        <v>234</v>
      </c>
      <c r="C90" s="38" t="s">
        <v>240</v>
      </c>
      <c r="D90" s="30" t="str">
        <f>IFERROR(VLOOKUP(Working!A90,Raw_Data!A:A,2,0),"-")</f>
        <v>-</v>
      </c>
      <c r="E90" s="30" t="str">
        <f>IFERROR(VLOOKUP(Working!A90,Raw_Data!A:A,3,0),"-")</f>
        <v>-</v>
      </c>
      <c r="F90" s="30" t="str">
        <f>IFERROR(VLOOKUP(B90,Processed_Data!A:C,2,0),"-")</f>
        <v>-</v>
      </c>
      <c r="G90" s="30" t="str">
        <f>IFERROR(VLOOKUP(B90,Processed_Data!A:C,3,0),"-")</f>
        <v>-</v>
      </c>
      <c r="H90" s="30" t="str">
        <f t="shared" si="2"/>
        <v>-</v>
      </c>
      <c r="I90" s="30" t="str">
        <f t="shared" si="3"/>
        <v>-</v>
      </c>
    </row>
    <row r="91" spans="1:9" x14ac:dyDescent="0.25">
      <c r="A91" s="21" t="s">
        <v>221</v>
      </c>
      <c r="B91" s="3" t="s">
        <v>235</v>
      </c>
      <c r="C91" s="38" t="s">
        <v>240</v>
      </c>
      <c r="D91" s="30" t="str">
        <f>IFERROR(VLOOKUP(Working!A91,Raw_Data!A:A,2,0),"-")</f>
        <v>-</v>
      </c>
      <c r="E91" s="30" t="str">
        <f>IFERROR(VLOOKUP(Working!A91,Raw_Data!A:A,3,0),"-")</f>
        <v>-</v>
      </c>
      <c r="F91" s="30" t="str">
        <f>IFERROR(VLOOKUP(B91,Processed_Data!A:C,2,0),"-")</f>
        <v>-</v>
      </c>
      <c r="G91" s="30" t="str">
        <f>IFERROR(VLOOKUP(B91,Processed_Data!A:C,3,0),"-")</f>
        <v>-</v>
      </c>
      <c r="H91" s="30" t="str">
        <f t="shared" si="2"/>
        <v>-</v>
      </c>
      <c r="I91" s="30" t="str">
        <f t="shared" si="3"/>
        <v>-</v>
      </c>
    </row>
    <row r="92" spans="1:9" x14ac:dyDescent="0.25">
      <c r="A92" s="21" t="s">
        <v>213</v>
      </c>
      <c r="B92" s="3" t="s">
        <v>236</v>
      </c>
      <c r="C92" s="38" t="s">
        <v>240</v>
      </c>
      <c r="D92" s="30" t="str">
        <f>IFERROR(VLOOKUP(Working!A92,Raw_Data!A:A,2,0),"-")</f>
        <v>-</v>
      </c>
      <c r="E92" s="30" t="str">
        <f>IFERROR(VLOOKUP(Working!A92,Raw_Data!A:A,3,0),"-")</f>
        <v>-</v>
      </c>
      <c r="F92" s="30" t="str">
        <f>IFERROR(VLOOKUP(B92,Processed_Data!A:C,2,0),"-")</f>
        <v>-</v>
      </c>
      <c r="G92" s="30" t="str">
        <f>IFERROR(VLOOKUP(B92,Processed_Data!A:C,3,0),"-")</f>
        <v>-</v>
      </c>
      <c r="H92" s="30" t="str">
        <f t="shared" si="2"/>
        <v>-</v>
      </c>
      <c r="I92" s="30" t="str">
        <f t="shared" si="3"/>
        <v>-</v>
      </c>
    </row>
    <row r="93" spans="1:9" x14ac:dyDescent="0.25">
      <c r="A93" s="21" t="s">
        <v>237</v>
      </c>
      <c r="B93" s="3" t="s">
        <v>238</v>
      </c>
      <c r="C93" s="38" t="s">
        <v>240</v>
      </c>
      <c r="D93" s="30" t="str">
        <f>IFERROR(VLOOKUP(Working!A93,Raw_Data!A:A,2,0),"-")</f>
        <v>-</v>
      </c>
      <c r="E93" s="30" t="str">
        <f>IFERROR(VLOOKUP(Working!A93,Raw_Data!A:A,3,0),"-")</f>
        <v>-</v>
      </c>
      <c r="F93" s="30" t="str">
        <f>IFERROR(VLOOKUP(B93,Processed_Data!A:C,2,0),"-")</f>
        <v>-</v>
      </c>
      <c r="G93" s="30" t="str">
        <f>IFERROR(VLOOKUP(B93,Processed_Data!A:C,3,0),"-")</f>
        <v>-</v>
      </c>
      <c r="H93" s="30" t="str">
        <f t="shared" si="2"/>
        <v>-</v>
      </c>
      <c r="I93" s="30" t="str">
        <f t="shared" si="3"/>
        <v>-</v>
      </c>
    </row>
    <row r="94" spans="1:9" x14ac:dyDescent="0.25">
      <c r="A94" s="21" t="s">
        <v>214</v>
      </c>
      <c r="B94" s="3" t="s">
        <v>239</v>
      </c>
      <c r="C94" s="38" t="s">
        <v>240</v>
      </c>
      <c r="D94" s="30" t="str">
        <f>IFERROR(VLOOKUP(Working!A94,Raw_Data!A:A,2,0),"-")</f>
        <v>-</v>
      </c>
      <c r="E94" s="30" t="str">
        <f>IFERROR(VLOOKUP(Working!A94,Raw_Data!A:A,3,0),"-")</f>
        <v>-</v>
      </c>
      <c r="F94" s="30" t="str">
        <f>IFERROR(VLOOKUP(B94,Processed_Data!A:C,2,0),"-")</f>
        <v>-</v>
      </c>
      <c r="G94" s="30" t="str">
        <f>IFERROR(VLOOKUP(B94,Processed_Data!A:C,3,0),"-")</f>
        <v>-</v>
      </c>
      <c r="H94" s="30" t="str">
        <f t="shared" si="2"/>
        <v>-</v>
      </c>
      <c r="I94" s="30" t="str">
        <f t="shared" si="3"/>
        <v>-</v>
      </c>
    </row>
    <row r="95" spans="1:9" x14ac:dyDescent="0.25">
      <c r="A95" s="37" t="s">
        <v>78</v>
      </c>
      <c r="B95" s="27" t="s">
        <v>78</v>
      </c>
      <c r="C95" s="28" t="s">
        <v>170</v>
      </c>
      <c r="D95" s="30" t="str">
        <f>IFERROR(VLOOKUP(Working!A95,Raw_Data!A:A,2,0),"-")</f>
        <v>-</v>
      </c>
      <c r="E95" s="30" t="str">
        <f>IFERROR(VLOOKUP(Working!A95,Raw_Data!A:A,3,0),"-")</f>
        <v>-</v>
      </c>
      <c r="F95" s="30">
        <f>IFERROR(VLOOKUP(B95,Processed_Data!A:C,2,0),"-")</f>
        <v>-2283.7650000000003</v>
      </c>
      <c r="G95" s="30">
        <f>IFERROR(VLOOKUP(B95,Processed_Data!A:C,3,0),"-")</f>
        <v>-2283.7650000000003</v>
      </c>
      <c r="H95" s="30" t="str">
        <f t="shared" si="2"/>
        <v>-</v>
      </c>
      <c r="I95" s="30" t="str">
        <f t="shared" si="3"/>
        <v>-</v>
      </c>
    </row>
    <row r="96" spans="1:9" x14ac:dyDescent="0.25">
      <c r="A96" s="37" t="s">
        <v>271</v>
      </c>
      <c r="B96" s="27" t="s">
        <v>271</v>
      </c>
      <c r="C96" s="28" t="s">
        <v>170</v>
      </c>
      <c r="D96" s="30" t="str">
        <f>IFERROR(VLOOKUP(Working!A96,Raw_Data!A:A,2,0),"-")</f>
        <v>-</v>
      </c>
      <c r="E96" s="30" t="str">
        <f>IFERROR(VLOOKUP(Working!A96,Raw_Data!A:A,3,0),"-")</f>
        <v>-</v>
      </c>
      <c r="F96" s="30" t="str">
        <f>IFERROR(VLOOKUP(B96,Processed_Data!A:C,2,0),"-")</f>
        <v>-</v>
      </c>
      <c r="G96" s="30" t="str">
        <f>IFERROR(VLOOKUP(B96,Processed_Data!A:C,3,0),"-")</f>
        <v>-</v>
      </c>
      <c r="H96" s="30" t="str">
        <f t="shared" si="2"/>
        <v>-</v>
      </c>
      <c r="I96" s="30" t="str">
        <f t="shared" si="3"/>
        <v>-</v>
      </c>
    </row>
    <row r="97" spans="1:9" x14ac:dyDescent="0.25">
      <c r="A97" s="37" t="s">
        <v>280</v>
      </c>
      <c r="B97" s="27" t="s">
        <v>280</v>
      </c>
      <c r="C97" s="28" t="s">
        <v>170</v>
      </c>
      <c r="D97" s="30" t="str">
        <f>IFERROR(VLOOKUP(Working!A97,Raw_Data!A:A,2,0),"-")</f>
        <v>-</v>
      </c>
      <c r="E97" s="30" t="str">
        <f>IFERROR(VLOOKUP(Working!A97,Raw_Data!A:A,3,0),"-")</f>
        <v>-</v>
      </c>
      <c r="F97" s="30" t="str">
        <f>IFERROR(VLOOKUP(B97,Processed_Data!A:C,2,0),"-")</f>
        <v>-</v>
      </c>
      <c r="G97" s="30" t="str">
        <f>IFERROR(VLOOKUP(B97,Processed_Data!A:C,3,0),"-")</f>
        <v>-</v>
      </c>
      <c r="H97" s="30" t="str">
        <f t="shared" si="2"/>
        <v>-</v>
      </c>
      <c r="I97" s="30" t="str">
        <f t="shared" si="3"/>
        <v>-</v>
      </c>
    </row>
    <row r="98" spans="1:9" x14ac:dyDescent="0.25">
      <c r="A98" s="37" t="s">
        <v>272</v>
      </c>
      <c r="B98" s="27" t="s">
        <v>272</v>
      </c>
      <c r="C98" s="28" t="s">
        <v>170</v>
      </c>
      <c r="D98" s="30" t="str">
        <f>IFERROR(VLOOKUP(Working!A98,Raw_Data!A:A,2,0),"-")</f>
        <v>-</v>
      </c>
      <c r="E98" s="30" t="str">
        <f>IFERROR(VLOOKUP(Working!A98,Raw_Data!A:A,3,0),"-")</f>
        <v>-</v>
      </c>
      <c r="F98" s="30" t="str">
        <f>IFERROR(VLOOKUP(B98,Processed_Data!A:C,2,0),"-")</f>
        <v>-</v>
      </c>
      <c r="G98" s="30" t="str">
        <f>IFERROR(VLOOKUP(B98,Processed_Data!A:C,3,0),"-")</f>
        <v>-</v>
      </c>
      <c r="H98" s="30" t="str">
        <f t="shared" si="2"/>
        <v>-</v>
      </c>
      <c r="I98" s="30" t="str">
        <f t="shared" si="3"/>
        <v>-</v>
      </c>
    </row>
    <row r="99" spans="1:9" x14ac:dyDescent="0.25">
      <c r="A99" s="37" t="s">
        <v>217</v>
      </c>
      <c r="B99" s="27" t="s">
        <v>217</v>
      </c>
      <c r="C99" s="28" t="s">
        <v>170</v>
      </c>
      <c r="D99" s="30" t="str">
        <f>IFERROR(VLOOKUP(Working!A99,Raw_Data!A:A,2,0),"-")</f>
        <v>-</v>
      </c>
      <c r="E99" s="30" t="str">
        <f>IFERROR(VLOOKUP(Working!A99,Raw_Data!A:A,3,0),"-")</f>
        <v>-</v>
      </c>
      <c r="F99" s="30" t="str">
        <f>IFERROR(VLOOKUP(B99,Processed_Data!A:C,2,0),"-")</f>
        <v>-</v>
      </c>
      <c r="G99" s="30" t="str">
        <f>IFERROR(VLOOKUP(B99,Processed_Data!A:C,3,0),"-")</f>
        <v>-</v>
      </c>
      <c r="H99" s="30" t="str">
        <f t="shared" si="2"/>
        <v>-</v>
      </c>
      <c r="I99" s="30" t="str">
        <f t="shared" si="3"/>
        <v>-</v>
      </c>
    </row>
    <row r="100" spans="1:9" x14ac:dyDescent="0.25">
      <c r="A100" s="37" t="s">
        <v>273</v>
      </c>
      <c r="B100" s="27" t="s">
        <v>273</v>
      </c>
      <c r="C100" s="28" t="s">
        <v>170</v>
      </c>
      <c r="D100" s="30" t="str">
        <f>IFERROR(VLOOKUP(Working!A100,Raw_Data!A:A,2,0),"-")</f>
        <v>-</v>
      </c>
      <c r="E100" s="30" t="str">
        <f>IFERROR(VLOOKUP(Working!A100,Raw_Data!A:A,3,0),"-")</f>
        <v>-</v>
      </c>
      <c r="F100" s="30" t="str">
        <f>IFERROR(VLOOKUP(B100,Processed_Data!A:C,2,0),"-")</f>
        <v>-</v>
      </c>
      <c r="G100" s="30" t="str">
        <f>IFERROR(VLOOKUP(B100,Processed_Data!A:C,3,0),"-")</f>
        <v>-</v>
      </c>
      <c r="H100" s="30" t="str">
        <f t="shared" si="2"/>
        <v>-</v>
      </c>
      <c r="I100" s="30" t="str">
        <f t="shared" si="3"/>
        <v>-</v>
      </c>
    </row>
    <row r="101" spans="1:9" x14ac:dyDescent="0.25">
      <c r="A101" s="37" t="s">
        <v>274</v>
      </c>
      <c r="B101" s="27" t="s">
        <v>274</v>
      </c>
      <c r="C101" s="28" t="s">
        <v>170</v>
      </c>
      <c r="D101" s="30" t="str">
        <f>IFERROR(VLOOKUP(Working!A101,Raw_Data!A:A,2,0),"-")</f>
        <v>-</v>
      </c>
      <c r="E101" s="30" t="str">
        <f>IFERROR(VLOOKUP(Working!A101,Raw_Data!A:A,3,0),"-")</f>
        <v>-</v>
      </c>
      <c r="F101" s="30" t="str">
        <f>IFERROR(VLOOKUP(B101,Processed_Data!A:C,2,0),"-")</f>
        <v>-</v>
      </c>
      <c r="G101" s="30" t="str">
        <f>IFERROR(VLOOKUP(B101,Processed_Data!A:C,3,0),"-")</f>
        <v>-</v>
      </c>
      <c r="H101" s="30" t="str">
        <f t="shared" si="2"/>
        <v>-</v>
      </c>
      <c r="I101" s="30" t="str">
        <f t="shared" si="3"/>
        <v>-</v>
      </c>
    </row>
    <row r="102" spans="1:9" x14ac:dyDescent="0.25">
      <c r="A102" s="37" t="s">
        <v>275</v>
      </c>
      <c r="B102" s="27" t="s">
        <v>275</v>
      </c>
      <c r="C102" s="28" t="s">
        <v>170</v>
      </c>
      <c r="D102" s="30" t="str">
        <f>IFERROR(VLOOKUP(Working!A102,Raw_Data!A:A,2,0),"-")</f>
        <v>-</v>
      </c>
      <c r="E102" s="30" t="str">
        <f>IFERROR(VLOOKUP(Working!A102,Raw_Data!A:A,3,0),"-")</f>
        <v>-</v>
      </c>
      <c r="F102" s="30" t="str">
        <f>IFERROR(VLOOKUP(B102,Processed_Data!A:C,2,0),"-")</f>
        <v>-</v>
      </c>
      <c r="G102" s="30" t="str">
        <f>IFERROR(VLOOKUP(B102,Processed_Data!A:C,3,0),"-")</f>
        <v>-</v>
      </c>
      <c r="H102" s="30" t="str">
        <f t="shared" si="2"/>
        <v>-</v>
      </c>
      <c r="I102" s="30" t="str">
        <f t="shared" si="3"/>
        <v>-</v>
      </c>
    </row>
    <row r="103" spans="1:9" x14ac:dyDescent="0.25">
      <c r="A103" s="37" t="s">
        <v>219</v>
      </c>
      <c r="B103" s="27" t="s">
        <v>219</v>
      </c>
      <c r="C103" s="28" t="s">
        <v>170</v>
      </c>
      <c r="D103" s="30" t="str">
        <f>IFERROR(VLOOKUP(Working!A103,Raw_Data!A:A,2,0),"-")</f>
        <v>-</v>
      </c>
      <c r="E103" s="30" t="str">
        <f>IFERROR(VLOOKUP(Working!A103,Raw_Data!A:A,3,0),"-")</f>
        <v>-</v>
      </c>
      <c r="F103" s="30">
        <f>IFERROR(VLOOKUP(B103,Processed_Data!A:C,2,0),"-")</f>
        <v>-143.45099999999999</v>
      </c>
      <c r="G103" s="30">
        <f>IFERROR(VLOOKUP(B103,Processed_Data!A:C,3,0),"-")</f>
        <v>-143.45099999999999</v>
      </c>
      <c r="H103" s="30" t="str">
        <f t="shared" si="2"/>
        <v>-</v>
      </c>
      <c r="I103" s="30" t="str">
        <f t="shared" si="3"/>
        <v>-</v>
      </c>
    </row>
    <row r="104" spans="1:9" x14ac:dyDescent="0.25">
      <c r="A104" s="37" t="s">
        <v>276</v>
      </c>
      <c r="B104" s="27" t="s">
        <v>276</v>
      </c>
      <c r="C104" s="28" t="s">
        <v>170</v>
      </c>
      <c r="D104" s="30" t="str">
        <f>IFERROR(VLOOKUP(Working!A104,Raw_Data!A:A,2,0),"-")</f>
        <v>-</v>
      </c>
      <c r="E104" s="30" t="str">
        <f>IFERROR(VLOOKUP(Working!A104,Raw_Data!A:A,3,0),"-")</f>
        <v>-</v>
      </c>
      <c r="F104" s="30" t="str">
        <f>IFERROR(VLOOKUP(B104,Processed_Data!A:C,2,0),"-")</f>
        <v>-</v>
      </c>
      <c r="G104" s="30" t="str">
        <f>IFERROR(VLOOKUP(B104,Processed_Data!A:C,3,0),"-")</f>
        <v>-</v>
      </c>
      <c r="H104" s="30" t="str">
        <f t="shared" si="2"/>
        <v>-</v>
      </c>
      <c r="I104" s="30" t="str">
        <f t="shared" si="3"/>
        <v>-</v>
      </c>
    </row>
    <row r="105" spans="1:9" x14ac:dyDescent="0.25">
      <c r="A105" s="37" t="s">
        <v>277</v>
      </c>
      <c r="B105" s="27" t="s">
        <v>277</v>
      </c>
      <c r="C105" s="28" t="s">
        <v>170</v>
      </c>
      <c r="D105" s="30" t="str">
        <f>IFERROR(VLOOKUP(Working!A105,Raw_Data!A:A,2,0),"-")</f>
        <v>-</v>
      </c>
      <c r="E105" s="30" t="str">
        <f>IFERROR(VLOOKUP(Working!A105,Raw_Data!A:A,3,0),"-")</f>
        <v>-</v>
      </c>
      <c r="F105" s="30" t="str">
        <f>IFERROR(VLOOKUP(B105,Processed_Data!A:C,2,0),"-")</f>
        <v>-</v>
      </c>
      <c r="G105" s="30" t="str">
        <f>IFERROR(VLOOKUP(B105,Processed_Data!A:C,3,0),"-")</f>
        <v>-</v>
      </c>
      <c r="H105" s="30" t="str">
        <f t="shared" si="2"/>
        <v>-</v>
      </c>
      <c r="I105" s="30" t="str">
        <f t="shared" si="3"/>
        <v>-</v>
      </c>
    </row>
    <row r="106" spans="1:9" x14ac:dyDescent="0.25">
      <c r="A106" s="37" t="s">
        <v>218</v>
      </c>
      <c r="B106" s="27" t="s">
        <v>218</v>
      </c>
      <c r="C106" s="28" t="s">
        <v>170</v>
      </c>
      <c r="D106" s="30" t="str">
        <f>IFERROR(VLOOKUP(Working!A106,Raw_Data!A:A,2,0),"-")</f>
        <v>-</v>
      </c>
      <c r="E106" s="30" t="str">
        <f>IFERROR(VLOOKUP(Working!A106,Raw_Data!A:A,3,0),"-")</f>
        <v>-</v>
      </c>
      <c r="F106" s="30">
        <f>IFERROR(VLOOKUP(B106,Processed_Data!A:C,2,0),"-")</f>
        <v>-8.4369999999999994</v>
      </c>
      <c r="G106" s="30">
        <f>IFERROR(VLOOKUP(B106,Processed_Data!A:C,3,0),"-")</f>
        <v>-8.4369999999999994</v>
      </c>
      <c r="H106" s="30" t="str">
        <f t="shared" si="2"/>
        <v>-</v>
      </c>
      <c r="I106" s="30" t="str">
        <f t="shared" si="3"/>
        <v>-</v>
      </c>
    </row>
    <row r="107" spans="1:9" x14ac:dyDescent="0.25">
      <c r="A107" s="37" t="s">
        <v>279</v>
      </c>
      <c r="B107" s="27" t="s">
        <v>279</v>
      </c>
      <c r="C107" s="28" t="s">
        <v>170</v>
      </c>
      <c r="D107" s="30" t="str">
        <f>IFERROR(VLOOKUP(Working!A107,Raw_Data!A:A,2,0),"-")</f>
        <v>-</v>
      </c>
      <c r="E107" s="30" t="str">
        <f>IFERROR(VLOOKUP(Working!A107,Raw_Data!A:A,3,0),"-")</f>
        <v>-</v>
      </c>
      <c r="F107" s="30" t="str">
        <f>IFERROR(VLOOKUP(B107,Processed_Data!A:C,2,0),"-")</f>
        <v>-</v>
      </c>
      <c r="G107" s="30" t="str">
        <f>IFERROR(VLOOKUP(B107,Processed_Data!A:C,3,0),"-")</f>
        <v>-</v>
      </c>
      <c r="H107" s="30" t="str">
        <f t="shared" si="2"/>
        <v>-</v>
      </c>
      <c r="I107" s="30" t="str">
        <f t="shared" si="3"/>
        <v>-</v>
      </c>
    </row>
    <row r="108" spans="1:9" x14ac:dyDescent="0.25">
      <c r="A108" s="37" t="s">
        <v>278</v>
      </c>
      <c r="B108" s="27" t="s">
        <v>278</v>
      </c>
      <c r="C108" s="28" t="s">
        <v>170</v>
      </c>
      <c r="D108" s="30" t="str">
        <f>IFERROR(VLOOKUP(Working!A108,Raw_Data!A:A,2,0),"-")</f>
        <v>-</v>
      </c>
      <c r="E108" s="30" t="str">
        <f>IFERROR(VLOOKUP(Working!A108,Raw_Data!A:A,3,0),"-")</f>
        <v>-</v>
      </c>
      <c r="F108" s="30" t="str">
        <f>IFERROR(VLOOKUP(B108,Processed_Data!A:C,2,0),"-")</f>
        <v>-</v>
      </c>
      <c r="G108" s="30" t="str">
        <f>IFERROR(VLOOKUP(B108,Processed_Data!A:C,3,0),"-")</f>
        <v>-</v>
      </c>
      <c r="H108" s="30" t="str">
        <f t="shared" si="2"/>
        <v>-</v>
      </c>
      <c r="I108" s="30" t="str">
        <f t="shared" si="3"/>
        <v>-</v>
      </c>
    </row>
    <row r="109" spans="1:9" x14ac:dyDescent="0.25">
      <c r="A109" s="37" t="s">
        <v>220</v>
      </c>
      <c r="B109" s="27" t="s">
        <v>220</v>
      </c>
      <c r="C109" s="28" t="s">
        <v>170</v>
      </c>
      <c r="D109" s="30" t="str">
        <f>IFERROR(VLOOKUP(Working!A109,Raw_Data!A:A,2,0),"-")</f>
        <v>-</v>
      </c>
      <c r="E109" s="30" t="str">
        <f>IFERROR(VLOOKUP(Working!A109,Raw_Data!A:A,3,0),"-")</f>
        <v>-</v>
      </c>
      <c r="F109" s="30">
        <f>IFERROR(VLOOKUP(B109,Processed_Data!A:C,2,0),"-")</f>
        <v>-4.1360000000000001</v>
      </c>
      <c r="G109" s="30">
        <f>IFERROR(VLOOKUP(B109,Processed_Data!A:C,3,0),"-")</f>
        <v>-4.1360000000000001</v>
      </c>
      <c r="H109" s="30" t="str">
        <f t="shared" si="2"/>
        <v>-</v>
      </c>
      <c r="I109" s="30" t="str">
        <f t="shared" si="3"/>
        <v>-</v>
      </c>
    </row>
  </sheetData>
  <mergeCells count="4">
    <mergeCell ref="A1:C1"/>
    <mergeCell ref="D1:E1"/>
    <mergeCell ref="F1:G1"/>
    <mergeCell ref="H1:I1"/>
  </mergeCells>
  <conditionalFormatting sqref="B96:B114">
    <cfRule type="duplicateValues" dxfId="3" priority="3"/>
  </conditionalFormatting>
  <conditionalFormatting sqref="A96:A109">
    <cfRule type="duplicateValues" dxfId="2" priority="4"/>
  </conditionalFormatting>
  <conditionalFormatting sqref="H1 H3:I1048576">
    <cfRule type="cellIs" dxfId="1" priority="2" operator="equal">
      <formula>0.5</formula>
    </cfRule>
  </conditionalFormatting>
  <conditionalFormatting sqref="H1:I1048576">
    <cfRule type="cellIs" dxfId="0" priority="1" operator="equal">
      <formula>0.3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retail</vt:lpstr>
      <vt:lpstr>ALL</vt:lpstr>
      <vt:lpstr>MT5_Fixed</vt:lpstr>
      <vt:lpstr>insti</vt:lpstr>
      <vt:lpstr>Processed_Data</vt:lpstr>
      <vt:lpstr>Insti_Fixed</vt:lpstr>
      <vt:lpstr>Raw_Data</vt:lpstr>
      <vt:lpstr>Conversion</vt:lpstr>
      <vt:lpstr>BGI_Core_Symbol</vt:lpstr>
      <vt:lpstr>BGI_Per_Lot</vt:lpstr>
      <vt:lpstr>Moving_Averge_30052018</vt:lpstr>
      <vt:lpstr>MT4_Forced_Swaps</vt:lpstr>
      <vt:lpstr>Bloomberg_Dividend</vt:lpstr>
      <vt:lpstr>Moving_Average_Compare</vt:lpstr>
      <vt:lpstr>TopFX_Swaps</vt:lpstr>
      <vt:lpstr>FXdd_Swaps</vt:lpstr>
      <vt:lpstr>FXpro_Swaps</vt:lpstr>
      <vt:lpstr>Info</vt:lpstr>
      <vt:lpstr>Control</vt:lpstr>
      <vt:lpstr>Working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Risk</dc:creator>
  <cp:lastModifiedBy>Risk</cp:lastModifiedBy>
  <dcterms:created xsi:type="dcterms:W3CDTF">2018-04-09T06:02:58Z</dcterms:created>
  <dcterms:modified xsi:type="dcterms:W3CDTF">2021-07-28T11:16:22Z</dcterms:modified>
</cp:coreProperties>
</file>